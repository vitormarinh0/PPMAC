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autoCompressPictures="0"/>
  <mc:AlternateContent xmlns:mc="http://schemas.openxmlformats.org/markup-compatibility/2006">
    <mc:Choice Requires="x15">
      <x15ac:absPath xmlns:x15ac="http://schemas.microsoft.com/office/spreadsheetml/2010/11/ac" url="C:\Base de Dados - PPMAC\R-project\Data\"/>
    </mc:Choice>
  </mc:AlternateContent>
  <xr:revisionPtr revIDLastSave="0" documentId="13_ncr:1_{186A72CC-937A-44AF-98FB-674056F73F0F}" xr6:coauthVersionLast="47" xr6:coauthVersionMax="47" xr10:uidLastSave="{00000000-0000-0000-0000-000000000000}"/>
  <bookViews>
    <workbookView xWindow="-110" yWindow="-110" windowWidth="19420" windowHeight="11500" tabRatio="534" activeTab="1"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6" i="7" l="1"/>
  <c r="C2" i="3"/>
</calcChain>
</file>

<file path=xl/sharedStrings.xml><?xml version="1.0" encoding="utf-8"?>
<sst xmlns="http://schemas.openxmlformats.org/spreadsheetml/2006/main" count="2695" uniqueCount="1209">
  <si>
    <t>type</t>
  </si>
  <si>
    <t>name</t>
  </si>
  <si>
    <t>default</t>
    <phoneticPr fontId="1" type="noConversion"/>
  </si>
  <si>
    <t>hint</t>
    <phoneticPr fontId="1" type="noConversion"/>
  </si>
  <si>
    <t>appearance</t>
    <phoneticPr fontId="1" type="noConversion"/>
  </si>
  <si>
    <t>required</t>
    <phoneticPr fontId="1" type="noConversion"/>
  </si>
  <si>
    <t>read only</t>
    <phoneticPr fontId="1" type="noConversion"/>
  </si>
  <si>
    <t>media:audio</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</si>
  <si>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</si>
  <si>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</si>
  <si>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</si>
  <si>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</si>
  <si>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</si>
  <si>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</si>
  <si>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</si>
  <si>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</si>
  <si>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</si>
  <si>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</si>
  <si>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</si>
  <si>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</si>
  <si>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</si>
  <si>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</si>
  <si>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</si>
  <si>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</si>
  <si>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</si>
  <si>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</si>
  <si>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</si>
  <si>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</si>
  <si>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</si>
  <si>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</si>
  <si>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</si>
  <si>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</si>
  <si>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</si>
  <si>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</si>
  <si>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</si>
  <si>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</si>
  <si>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</si>
  <si>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</si>
  <si>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</si>
  <si>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</si>
  <si>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</si>
  <si>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</si>
  <si>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</si>
  <si>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</si>
  <si>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</si>
  <si>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</si>
  <si>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</si>
  <si>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</si>
  <si>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</si>
  <si>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</si>
  <si>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</si>
  <si>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</si>
  <si>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</si>
  <si>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</si>
  <si>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</si>
  <si>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</si>
  <si>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</si>
  <si>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</si>
  <si>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</si>
  <si>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</si>
  <si>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</si>
  <si>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</si>
  <si>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</si>
  <si>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</si>
  <si>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</si>
  <si>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</si>
  <si>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</si>
  <si>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</si>
  <si>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</si>
  <si>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</si>
  <si>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</si>
  <si>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</si>
  <si>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</si>
  <si>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</si>
  <si>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</si>
  <si>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</si>
  <si>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</si>
  <si>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</si>
  <si>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</si>
  <si>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</si>
  <si>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</si>
  <si>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</si>
  <si>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</si>
  <si>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</si>
  <si>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</si>
  <si>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</si>
  <si>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</si>
  <si>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</si>
  <si>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</si>
  <si>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</si>
  <si>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</si>
  <si>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</si>
  <si>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</si>
  <si>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</si>
  <si>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</si>
  <si>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</si>
  <si>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</si>
  <si>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</si>
  <si>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</si>
  <si>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</si>
  <si>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</si>
  <si>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</si>
  <si>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</si>
  <si>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</si>
  <si>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</si>
  <si>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</si>
  <si>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</si>
  <si>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</si>
  <si>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</si>
  <si>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</si>
  <si>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</si>
  <si>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</si>
  <si>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</si>
  <si>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</si>
  <si>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</si>
  <si>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</si>
  <si>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</si>
  <si>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</si>
  <si>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audio audit</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</si>
  <si>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</si>
  <si>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</si>
  <si>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</si>
  <si>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</si>
  <si>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</si>
  <si>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</si>
  <si>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</si>
  <si>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</si>
  <si>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</si>
  <si>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</si>
  <si>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</si>
  <si>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</si>
  <si>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</si>
  <si>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</si>
  <si>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</si>
  <si>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</si>
  <si>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</si>
  <si>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</si>
  <si>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</si>
  <si>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</si>
  <si>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</si>
  <si>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</si>
  <si>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</si>
  <si>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</si>
  <si>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</si>
  <si>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</si>
  <si>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</si>
  <si>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</si>
  <si>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</si>
  <si>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</si>
  <si>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</si>
  <si>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</si>
  <si>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</si>
  <si>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</si>
  <si>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</si>
  <si>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</si>
  <si>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</si>
  <si>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</si>
  <si>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</si>
  <si>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</si>
  <si>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</si>
  <si>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</si>
  <si>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</si>
  <si>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</si>
  <si>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</si>
  <si>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</si>
  <si>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</si>
  <si>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</si>
  <si>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</si>
  <si>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</si>
  <si>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</si>
  <si>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</si>
  <si>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</si>
  <si>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</si>
  <si>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</si>
  <si>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</si>
  <si>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</si>
  <si>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</si>
  <si>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</si>
  <si>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</si>
  <si>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</si>
  <si>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</si>
  <si>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</si>
  <si>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</si>
  <si>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</si>
  <si>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</si>
  <si>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</si>
  <si>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</si>
  <si>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</si>
  <si>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</si>
  <si>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</si>
  <si>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</si>
  <si>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</si>
  <si>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</si>
  <si>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</si>
  <si>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</si>
  <si>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</si>
  <si>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</si>
  <si>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</si>
  <si>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</si>
  <si>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</si>
  <si>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</si>
  <si>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</si>
  <si>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</si>
  <si>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</si>
  <si>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</si>
  <si>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</si>
  <si>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</si>
  <si>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</si>
  <si>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</si>
  <si>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</si>
  <si>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</si>
  <si>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</si>
  <si>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</si>
  <si>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</si>
  <si>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</si>
  <si>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</si>
  <si>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</si>
  <si>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r>
      <t>Examples</t>
    </r>
    <r>
      <rPr>
        <sz val="12"/>
        <color indexed="8"/>
        <rFont val="Calibri"/>
        <family val="2"/>
      </rPr>
      <t xml:space="preserve"> (scroll right for appearance styles)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</si>
  <si>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</si>
  <si>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</si>
  <si>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</si>
  <si>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</si>
  <si>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</si>
  <si>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</si>
  <si>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</si>
  <si>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</si>
  <si>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</si>
  <si>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</si>
  <si>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</si>
  <si>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</si>
  <si>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</si>
  <si>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</si>
  <si>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</si>
  <si>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</si>
  <si>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t>minimum_seconds</t>
  </si>
  <si>
    <t>speed violations audit</t>
  </si>
  <si>
    <t>speed violations count</t>
  </si>
  <si>
    <t>speed violations list</t>
  </si>
  <si>
    <t>caseid</t>
  </si>
  <si>
    <t>duration()</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</si>
  <si>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</si>
  <si>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</si>
  <si>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</si>
  <si>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</si>
  <si>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</si>
  <si>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</si>
  <si>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</si>
  <si>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</si>
  <si>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</si>
  <si>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</si>
  <si>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</si>
  <si>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</si>
  <si>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</si>
  <si>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</si>
  <si>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</si>
  <si>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</si>
  <si>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</si>
  <si>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</si>
  <si>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</si>
  <si>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</si>
  <si>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</si>
  <si>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</si>
  <si>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</si>
  <si>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</si>
  <si>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</si>
  <si>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</si>
  <si>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</si>
  <si>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</si>
  <si>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</si>
  <si>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</si>
  <si>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</si>
  <si>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</si>
  <si>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</si>
  <si>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sensor_statistic pct_movement_between</t>
  </si>
  <si>
    <t>enumerator</t>
  </si>
  <si>
    <t>other-user-code(xyz)</t>
  </si>
  <si>
    <t>default-to-scan</t>
  </si>
  <si>
    <t>add-new-code(xyz)</t>
  </si>
  <si>
    <t>default-to-entry</t>
  </si>
  <si>
    <t>Enumerator selection field (require a special code in order to enter a new enumerator):</t>
  </si>
  <si>
    <t>Enumerator selection field (require a special code in order to reveal the full enumerator list):</t>
  </si>
  <si>
    <t>Enumerator selection field:</t>
  </si>
  <si>
    <t>choice-label(${selectonefield}, ${selectonefield})</t>
  </si>
  <si>
    <t>choice-label(field, value)</t>
  </si>
  <si>
    <t>Quick reference for relevance, constraint, and selected calculation expressions</t>
  </si>
  <si>
    <t>plug-in-metadata(field)</t>
  </si>
  <si>
    <t>plug-in-metadata(${counter})</t>
  </si>
  <si>
    <t>phone-call-log()</t>
  </si>
  <si>
    <t>relevant(field)</t>
  </si>
  <si>
    <t>relevant(${followup_question})</t>
  </si>
  <si>
    <t>empty(field)</t>
  </si>
  <si>
    <t>empty(${consent})</t>
  </si>
  <si>
    <t>This worksheet specifies all of the groups, questions, and other fields in your survey form, each in its own row. Aside from overall settings and lists of multiple-choice options, everything about your survey form is specified in this worksheet.</t>
  </si>
  <si>
    <t>device-info()</t>
  </si>
  <si>
    <t>device_info</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</si>
  <si>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</si>
  <si>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Help topic: Hiding forms during testing</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</si>
  <si>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</si>
  <si>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</si>
  <si>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Help topic: Encrypting form data (end-to-end encryption)</t>
  </si>
  <si>
    <t>Help topic: Form languages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</si>
  <si>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</si>
  <si>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</si>
  <si>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</si>
  <si>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Pre-loading data into a form</t>
  </si>
  <si>
    <t>Help topic: Dynamically filtering lists of multiple-choice options</t>
  </si>
  <si>
    <t>Help topic: Using constraints to validate responses</t>
  </si>
  <si>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</si>
  <si>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Help topic: Implementing skip patterns with "relevance"</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</si>
  <si>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</si>
  <si>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</si>
  <si>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Updating an existing form</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</si>
  <si>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</si>
  <si>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time</t>
  </si>
  <si>
    <t>Standard time field:</t>
  </si>
  <si>
    <t>Read about the select_one field type for more information</t>
  </si>
  <si>
    <t>Read about the select_multiple field type for more information</t>
  </si>
  <si>
    <t>Read about dynamically loading choice lists from external pre-loaded data</t>
  </si>
  <si>
    <t>Learn more about form definitions and field types</t>
  </si>
  <si>
    <t>Help topic: Images: Adding pictures and other graphics</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</si>
  <si>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</si>
  <si>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</si>
  <si>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Help topic: Other field properties</t>
  </si>
  <si>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</si>
  <si>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</si>
  <si>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</si>
  <si>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</si>
  <si>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</si>
  <si>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</si>
  <si>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</si>
  <si>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</si>
  <si>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</si>
  <si>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</si>
  <si>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</si>
  <si>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</si>
  <si>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</si>
  <si>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Help topic: Collecting high-quality data</t>
  </si>
  <si>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</si>
  <si>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Grouping and repeating questions</t>
  </si>
  <si>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</si>
  <si>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</si>
  <si>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</si>
  <si>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</si>
  <si>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This column specifies the name of the field or group. Field names must be unique, and they cannot include any spaces or punctuation. 
Example: </t>
    </r>
    <r>
      <rPr>
        <b/>
        <sz val="12"/>
        <color indexed="8"/>
        <rFont val="Calibri"/>
        <family val="2"/>
      </rPr>
      <t>age</t>
    </r>
  </si>
  <si>
    <t>Help topic: Field type: calculate</t>
  </si>
  <si>
    <t>Help topic: Downloading printable copies of your forms</t>
  </si>
  <si>
    <t>Learn about all available expressions in "Using expressions in your forms: a reference for all operators and functions"</t>
  </si>
  <si>
    <t>p = 50; eventlog; choices</t>
  </si>
  <si>
    <t>p = 50</t>
  </si>
  <si>
    <t>p = 50; s = 0; d = 60</t>
  </si>
  <si>
    <t>p = 50; s = 0-600; d = 60</t>
  </si>
  <si>
    <t>p = 50; s = firstfield; d = lastfield</t>
  </si>
  <si>
    <t>v = 5; d = 120</t>
  </si>
  <si>
    <t>period = 1</t>
  </si>
  <si>
    <t>min = 0.25; max = 2</t>
  </si>
  <si>
    <t>Comunidades Locais</t>
  </si>
  <si>
    <t>comunidades_locais</t>
  </si>
  <si>
    <t/>
  </si>
  <si>
    <t>1</t>
  </si>
  <si>
    <t>0</t>
  </si>
  <si>
    <t>municipio_entrevista</t>
  </si>
  <si>
    <t>Marabá</t>
  </si>
  <si>
    <t>2</t>
  </si>
  <si>
    <t>Rondon do Pará</t>
  </si>
  <si>
    <t>hint</t>
  </si>
  <si>
    <t>default</t>
  </si>
  <si>
    <t>appearance</t>
  </si>
  <si>
    <t>constraint</t>
  </si>
  <si>
    <t>relevance</t>
  </si>
  <si>
    <t>disabled</t>
  </si>
  <si>
    <t>required</t>
  </si>
  <si>
    <t>read only</t>
  </si>
  <si>
    <t>calculation</t>
  </si>
  <si>
    <t>media:image</t>
  </si>
  <si>
    <t>media:audio</t>
  </si>
  <si>
    <t>media:video</t>
  </si>
  <si>
    <t>Qual o município da entrevista ?</t>
  </si>
  <si>
    <t>yes</t>
  </si>
  <si>
    <t>assentamentos</t>
  </si>
  <si>
    <t>Assentamento A</t>
  </si>
  <si>
    <t>Assentamento B</t>
  </si>
  <si>
    <t>assentamento_origem</t>
  </si>
  <si>
    <t>Qual o assentamento ?</t>
  </si>
  <si>
    <t>sexo</t>
  </si>
  <si>
    <t>Masculino</t>
  </si>
  <si>
    <t>Feminino</t>
  </si>
  <si>
    <t>nome_entrevistado</t>
  </si>
  <si>
    <t>select_one sexo</t>
  </si>
  <si>
    <t>sexo_entrevistado</t>
  </si>
  <si>
    <t>raca</t>
  </si>
  <si>
    <t>Branco</t>
  </si>
  <si>
    <t>Preto</t>
  </si>
  <si>
    <t>3</t>
  </si>
  <si>
    <t>Pardo</t>
  </si>
  <si>
    <t>4</t>
  </si>
  <si>
    <t>Indígena</t>
  </si>
  <si>
    <t>5</t>
  </si>
  <si>
    <t>Outro</t>
  </si>
  <si>
    <t>data_nascimento_entrevistado</t>
  </si>
  <si>
    <t>select_one raca</t>
  </si>
  <si>
    <t>raca_entrevistado</t>
  </si>
  <si>
    <t>raca_outro</t>
  </si>
  <si>
    <t>selected(${raca_entrevistado}, '5')</t>
  </si>
  <si>
    <t>estado_civil</t>
  </si>
  <si>
    <t>select_one estado_civil</t>
  </si>
  <si>
    <t>estado_civil_entrevistado</t>
  </si>
  <si>
    <t>escolaridade</t>
  </si>
  <si>
    <t>Sem Instrução</t>
  </si>
  <si>
    <t>Ensino fundamental incompleto</t>
  </si>
  <si>
    <t>Ensino fundamental completo</t>
  </si>
  <si>
    <t>Ensino médio incompleto</t>
  </si>
  <si>
    <t>Ensino médio completo</t>
  </si>
  <si>
    <t>Ensino superior incompleto</t>
  </si>
  <si>
    <t>6</t>
  </si>
  <si>
    <t>Ensino superior completo</t>
  </si>
  <si>
    <t>sim_ou_nao</t>
  </si>
  <si>
    <t>Sim</t>
  </si>
  <si>
    <t>Não</t>
  </si>
  <si>
    <t>renda_familiar</t>
  </si>
  <si>
    <t>Menos de 1 salário mínimo</t>
  </si>
  <si>
    <t>Entre 1 e 2 salários mínimos</t>
  </si>
  <si>
    <t>Mais de 2 salários mínimos</t>
  </si>
  <si>
    <t>select_one escolaridade</t>
  </si>
  <si>
    <t>escolaridade_chefe_familia</t>
  </si>
  <si>
    <t>familia_composicao</t>
  </si>
  <si>
    <t>select_one sim_ou_nao</t>
  </si>
  <si>
    <t>select_one renda_familiar</t>
  </si>
  <si>
    <t>renda_familiar_mensal</t>
  </si>
  <si>
    <t>programa_social</t>
  </si>
  <si>
    <t>Bolsa Família / Auxílio Brasil</t>
  </si>
  <si>
    <t>Aposentadoria rural</t>
  </si>
  <si>
    <t>Outros</t>
  </si>
  <si>
    <t>Nenhum</t>
  </si>
  <si>
    <t>motivo_mudanca_assentamento</t>
  </si>
  <si>
    <t>Acesso à terra</t>
  </si>
  <si>
    <t>Conflitos fundiários</t>
  </si>
  <si>
    <t>Busca por trabalho</t>
  </si>
  <si>
    <t>Reunificação familiar</t>
  </si>
  <si>
    <t>select_multiple programa_social</t>
  </si>
  <si>
    <t>programa_social_familia</t>
  </si>
  <si>
    <t>programa_social_familia_outro</t>
  </si>
  <si>
    <t>selected(${programa_social_familia}, '4')</t>
  </si>
  <si>
    <t>no</t>
  </si>
  <si>
    <t>ano_mudanca_assentamento</t>
  </si>
  <si>
    <t>familia_viveu_outro_assentamento_sim</t>
  </si>
  <si>
    <t>select_multiple motivo_mudanca_assentamento</t>
  </si>
  <si>
    <t>motivo_mudanca_assentamento_outro</t>
  </si>
  <si>
    <t>selected(${motivo_mudanca_assentamento}, '6')</t>
  </si>
  <si>
    <t>familia_ja_viveu_outro_assentamento</t>
  </si>
  <si>
    <t>selected(${familia_ja_viveu_outro_assentamento}, '1')</t>
  </si>
  <si>
    <t>quem_migrou</t>
  </si>
  <si>
    <t>O chefe da família</t>
  </si>
  <si>
    <t>Cônjuge</t>
  </si>
  <si>
    <t>membro_migrou_temporario</t>
  </si>
  <si>
    <t>quem_migrou_temporario</t>
  </si>
  <si>
    <t>selected(${quem_migrou_temporario}, '4')</t>
  </si>
  <si>
    <t>selected(${membro_migrou_temporario}, '1')</t>
  </si>
  <si>
    <t>opcao_motivo_migracao</t>
  </si>
  <si>
    <t>Conflito fundiário/violência</t>
  </si>
  <si>
    <t>opcao_tipo_migracao</t>
  </si>
  <si>
    <t>Definitiva</t>
  </si>
  <si>
    <t>select_one opcao_tipo_migracao</t>
  </si>
  <si>
    <t>select_multiple quem_migrou</t>
  </si>
  <si>
    <t>select_multiple opcao_motivo_migracao</t>
  </si>
  <si>
    <t>select_one opcao_migrou_10_anos</t>
  </si>
  <si>
    <t>opcao_migrou_10_anos</t>
  </si>
  <si>
    <t>Mais de 3</t>
  </si>
  <si>
    <t>opcao_pode_migrar_5_anos</t>
  </si>
  <si>
    <t>Sim, com certeza</t>
  </si>
  <si>
    <t>Não pretente migrar</t>
  </si>
  <si>
    <t>Talvez</t>
  </si>
  <si>
    <t>opcao_motivo_provavel_migracao</t>
  </si>
  <si>
    <t>Falta de renda</t>
  </si>
  <si>
    <t>Condições climáticas</t>
  </si>
  <si>
    <t>Falta de políticas públicas</t>
  </si>
  <si>
    <t>Busca por estudo/trabalho</t>
  </si>
  <si>
    <t>select_one opcao_pode_migrar_5_anos</t>
  </si>
  <si>
    <t>select_multiple opcao_motivo_provavel_migracao</t>
  </si>
  <si>
    <t>fonte_renda</t>
  </si>
  <si>
    <t>Agricultura de subsistência</t>
  </si>
  <si>
    <t>Agricultura comercial</t>
  </si>
  <si>
    <t>Criação de animais</t>
  </si>
  <si>
    <t>select_multiple fonte_renda</t>
  </si>
  <si>
    <t>outro_familiar_migrou</t>
  </si>
  <si>
    <t>onde_familiar_migrou</t>
  </si>
  <si>
    <t>motivo_migracao</t>
  </si>
  <si>
    <t>outro_motivo_migracao</t>
  </si>
  <si>
    <t>selected(${motivo_migracao}, '5')</t>
  </si>
  <si>
    <t>tipo_migracao</t>
  </si>
  <si>
    <t>migrou_10_anos</t>
  </si>
  <si>
    <t>pode_migrar_5_anos</t>
  </si>
  <si>
    <t>motivo_provavel_migracao</t>
  </si>
  <si>
    <t>outro_motivo_provavel_migracao</t>
  </si>
  <si>
    <t>fonte_principal_renda</t>
  </si>
  <si>
    <t>fonte_principal_renda_outro</t>
  </si>
  <si>
    <t>selected(${fonte_principal_renda}, '6')</t>
  </si>
  <si>
    <t>tempo_atividade</t>
  </si>
  <si>
    <t>2 a 3</t>
  </si>
  <si>
    <t>select_one opcao_tempo_atividade</t>
  </si>
  <si>
    <t>opcao_tempo_atividade</t>
  </si>
  <si>
    <t>select_one opcao_formacao_renda</t>
  </si>
  <si>
    <t>formacao_renda</t>
  </si>
  <si>
    <t>opcao_formacao_renda</t>
  </si>
  <si>
    <t>Exclusivamente local</t>
  </si>
  <si>
    <t>Predominantemente migratório</t>
  </si>
  <si>
    <t>opcao_producao_destinada</t>
  </si>
  <si>
    <t>Somente para venda</t>
  </si>
  <si>
    <t>Para consumo e venda</t>
  </si>
  <si>
    <t>Somente para consumo próprio</t>
  </si>
  <si>
    <t>select_one opcao_producao_destinada</t>
  </si>
  <si>
    <t>opcao_produto_comercializado</t>
  </si>
  <si>
    <t>Direto ao consumidor</t>
  </si>
  <si>
    <t>Através de cooperativas</t>
  </si>
  <si>
    <t>Para intermediários</t>
  </si>
  <si>
    <t>Feiras</t>
  </si>
  <si>
    <t>Não comercializa</t>
  </si>
  <si>
    <t>participou_formacao_5_anos</t>
  </si>
  <si>
    <t>tema_principal_formacao</t>
  </si>
  <si>
    <t>Até 4 horas</t>
  </si>
  <si>
    <t>Até 8 horas</t>
  </si>
  <si>
    <t>Mais de 8 horas</t>
  </si>
  <si>
    <t>Produção agroecológica</t>
  </si>
  <si>
    <t>Técnicas de irrigação</t>
  </si>
  <si>
    <t>Gestão da propriedade rural</t>
  </si>
  <si>
    <t>Comercialização / mercado</t>
  </si>
  <si>
    <t>Adaptação climática</t>
  </si>
  <si>
    <t>Manejo Florestal</t>
  </si>
  <si>
    <t>Certificações socioambientais</t>
  </si>
  <si>
    <t>select_multiple tema_principal_formacao</t>
  </si>
  <si>
    <t>temas_atividades_formacao</t>
  </si>
  <si>
    <t>selected(${participou_formacao_5_anos}, '1')</t>
  </si>
  <si>
    <t>outro_tema_atividade_formacao</t>
  </si>
  <si>
    <t>opcao_inscricao_programa</t>
  </si>
  <si>
    <t>Cadúnico</t>
  </si>
  <si>
    <t>Bolsa Família</t>
  </si>
  <si>
    <t>familia_inscrita_programa</t>
  </si>
  <si>
    <t>Água</t>
  </si>
  <si>
    <t>Energia</t>
  </si>
  <si>
    <t>Saneamento</t>
  </si>
  <si>
    <t>opcao_servico_basico</t>
  </si>
  <si>
    <t>area_total</t>
  </si>
  <si>
    <t>cria_animais</t>
  </si>
  <si>
    <t>sistema_irrigacao</t>
  </si>
  <si>
    <t>opcao_irrigacao</t>
  </si>
  <si>
    <t>select_multiple opcao_irrigacao</t>
  </si>
  <si>
    <t>tipo_irrigacao</t>
  </si>
  <si>
    <t>outro_tipo_irrigacao</t>
  </si>
  <si>
    <t>opcao_fonte_agua</t>
  </si>
  <si>
    <t>select_multiple opcao_fonte_agua</t>
  </si>
  <si>
    <t>fonte_agua_irrigacao</t>
  </si>
  <si>
    <t>outra_fonte_agua_irrigacao</t>
  </si>
  <si>
    <t>possui_cisterna</t>
  </si>
  <si>
    <t>alteracao_disponibilidade_agua</t>
  </si>
  <si>
    <t>usa_agrotoxico</t>
  </si>
  <si>
    <t>Apenas insumos orgânicos</t>
  </si>
  <si>
    <t>opcao_usa_agrotoxico</t>
  </si>
  <si>
    <t>select_one opcao_usa_agrotoxico</t>
  </si>
  <si>
    <t>compartiilha_lote</t>
  </si>
  <si>
    <t>opcao_certificada</t>
  </si>
  <si>
    <t>Sim, possui certificação orgânica</t>
  </si>
  <si>
    <t>Sim, participa de rastreabilidade</t>
  </si>
  <si>
    <t>Não possui</t>
  </si>
  <si>
    <t>select_one opcao_certificada</t>
  </si>
  <si>
    <t>familia_certificada</t>
  </si>
  <si>
    <t>usa_recurso_naturais</t>
  </si>
  <si>
    <t>opcao_recursos_naturais</t>
  </si>
  <si>
    <t>outro_recurso_natural</t>
  </si>
  <si>
    <t>frequencia_coleta</t>
  </si>
  <si>
    <t>opcao_frequencia_coleta</t>
  </si>
  <si>
    <t>select_one opcao_frequencia_coleta</t>
  </si>
  <si>
    <t>opcao_finalidade_principal</t>
  </si>
  <si>
    <t>select_multiple opcao_finalidade_principal</t>
  </si>
  <si>
    <t>finalidade_principal</t>
  </si>
  <si>
    <t>opcao_obtem_recurso</t>
  </si>
  <si>
    <t>select_multiple opcao_obtem_recurso</t>
  </si>
  <si>
    <t>obtem_recurso</t>
  </si>
  <si>
    <t>opcao_dificuldade_agua</t>
  </si>
  <si>
    <t>select_one opcao_dificuldade_agua</t>
  </si>
  <si>
    <t>disponibilidade_recursos</t>
  </si>
  <si>
    <t>opcao_disponibilidade_recurso</t>
  </si>
  <si>
    <t>outro_mudanca_disponibilidade_recurso</t>
  </si>
  <si>
    <t>conflitos_recurso</t>
  </si>
  <si>
    <t>select_multiple opcao_conflito</t>
  </si>
  <si>
    <t>opcao_conflito</t>
  </si>
  <si>
    <t>select_one opcao_disponibilidade_recurso</t>
  </si>
  <si>
    <t>selected(${pode_migrar_5_anos}, '1')</t>
  </si>
  <si>
    <t>selected(${motivo_provavel_migracao}, '5')</t>
  </si>
  <si>
    <t>selected(${temas_atividades_formacao}, '8')</t>
  </si>
  <si>
    <t>selected(${tipo_irrigacao}, '4')</t>
  </si>
  <si>
    <t>selected(${fonte_agua_irrigacao}, '5')</t>
  </si>
  <si>
    <t>mudanca_climaticas</t>
  </si>
  <si>
    <t>obteve_mudanca_climaticas</t>
  </si>
  <si>
    <t>opcao_veiculo_informacao</t>
  </si>
  <si>
    <t>select_multiple opcao_veiculo_informacao</t>
  </si>
  <si>
    <t>outro_obteve_mudanca_climaticas</t>
  </si>
  <si>
    <t>grau_mudanca_clima</t>
  </si>
  <si>
    <t>opcao_likert</t>
  </si>
  <si>
    <t>select_one opcao_likert</t>
  </si>
  <si>
    <t>opcao_mudanca_climaticas</t>
  </si>
  <si>
    <t>select_multiple opcao_mudanca_climaticas</t>
  </si>
  <si>
    <t>percepcao_mudanca_climatica</t>
  </si>
  <si>
    <t>opcao_mudanca_periodo_ano</t>
  </si>
  <si>
    <t>select_one opcao_mudanca_periodo_ano</t>
  </si>
  <si>
    <t>percepcao_periodo_ano</t>
  </si>
  <si>
    <t>opcao_causas_mudanca</t>
  </si>
  <si>
    <t>select_multiple opcao_causas_mudanca</t>
  </si>
  <si>
    <t>causas_mudanca_climatica</t>
  </si>
  <si>
    <t>outro_causas_mudanca_climatica</t>
  </si>
  <si>
    <t>selected(${causas_mudanca_climatica}, '8')</t>
  </si>
  <si>
    <t>nivel_preocupacao_mudanca_climatica</t>
  </si>
  <si>
    <t>nivel_ameaca_producao</t>
  </si>
  <si>
    <t>opcao_mudanca_clima_afeta</t>
  </si>
  <si>
    <t>select_multiple opcao_mudanca_clima_afeta</t>
  </si>
  <si>
    <t>clima_tem_afetado</t>
  </si>
  <si>
    <t>opcao_informacao_suficiente</t>
  </si>
  <si>
    <t>Parcialmente</t>
  </si>
  <si>
    <t>select_one opcao_informacao_suficiente</t>
  </si>
  <si>
    <t>informacao_suficiente</t>
  </si>
  <si>
    <t>migrar_por_problemas_ambientais</t>
  </si>
  <si>
    <t>opcao_migracao_familia</t>
  </si>
  <si>
    <t>select_multiple opcao_migracao_familia</t>
  </si>
  <si>
    <t>migracao_familia</t>
  </si>
  <si>
    <t>outro_migracao_familia</t>
  </si>
  <si>
    <t>selected(${migracao_familia}, '6')</t>
  </si>
  <si>
    <t>opcao_frequencia_migracao</t>
  </si>
  <si>
    <t>Todo ano</t>
  </si>
  <si>
    <t>Eventos extremos específicos</t>
  </si>
  <si>
    <t>Nunca</t>
  </si>
  <si>
    <t>select_one opcao_frequencia_migracao</t>
  </si>
  <si>
    <t>frequencia_migracao</t>
  </si>
  <si>
    <t>producao_afetada</t>
  </si>
  <si>
    <t>impacto_agricultura</t>
  </si>
  <si>
    <t>impacto_criacao_animail</t>
  </si>
  <si>
    <t>impacto_extrativismo</t>
  </si>
  <si>
    <t>impacto_saude_familiar</t>
  </si>
  <si>
    <t>perda_renda</t>
  </si>
  <si>
    <t>recebeu_apoio_politico</t>
  </si>
  <si>
    <t>opcao_apoio_politico</t>
  </si>
  <si>
    <t>select_multiple opcao_apoio_politico</t>
  </si>
  <si>
    <t>qual_apoio_politico</t>
  </si>
  <si>
    <t>selected(${recebeu_apoio_politico}, '1')</t>
  </si>
  <si>
    <t>opcao_estrategia_perda_clima</t>
  </si>
  <si>
    <t>Redução da produção</t>
  </si>
  <si>
    <t>select_multiple opcao_estrategia_perda_clima</t>
  </si>
  <si>
    <t>estrategia_perda_clima</t>
  </si>
  <si>
    <t>lidar_evento_extremo</t>
  </si>
  <si>
    <t>pratica_mudanca_clima</t>
  </si>
  <si>
    <t>quais_praticas_adaptacao_clima</t>
  </si>
  <si>
    <t>opcao_pratica_adaptacao_clima</t>
  </si>
  <si>
    <t>select_multiple opcao_pratica_adaptacao_clima</t>
  </si>
  <si>
    <t>outro_praticas_adaptacao_clima</t>
  </si>
  <si>
    <t>selected(${quais_praticas_adaptacao_clima}, '6')</t>
  </si>
  <si>
    <t>opcao_orientacao_clima</t>
  </si>
  <si>
    <t>orientacao_clima</t>
  </si>
  <si>
    <t>select_multiple opcao_orientacao_clima</t>
  </si>
  <si>
    <t>outro_orientacao_clima</t>
  </si>
  <si>
    <t>selected(${orientacao_clima}, '5')</t>
  </si>
  <si>
    <t>confia_politica_publica</t>
  </si>
  <si>
    <t>receber_informacao_clima</t>
  </si>
  <si>
    <t>migracao_reduz_risco</t>
  </si>
  <si>
    <t>opcao_ouviu_falar</t>
  </si>
  <si>
    <t>select_one opcao_ouviu_falar</t>
  </si>
  <si>
    <t>conhecer_termos</t>
  </si>
  <si>
    <t>opcao_pratica_efeito_estufa</t>
  </si>
  <si>
    <t>select_multiple opcao_pratica_efeito_estufa</t>
  </si>
  <si>
    <t>pratica_efeito_estufa</t>
  </si>
  <si>
    <t>opcao_producao_bio</t>
  </si>
  <si>
    <t>opcao_comercio_bio</t>
  </si>
  <si>
    <t>select_multiple opcao_comercio_bio</t>
  </si>
  <si>
    <t>comercio_bio</t>
  </si>
  <si>
    <t>opcao_dificuldade_bio</t>
  </si>
  <si>
    <t>select_multiple opcao_dificuldade_bio</t>
  </si>
  <si>
    <t>dificuldade_bio</t>
  </si>
  <si>
    <t>outro_dificuldade_bio</t>
  </si>
  <si>
    <t>selected(${dificuldade_bio}, '9')</t>
  </si>
  <si>
    <t>opcao_cadeia_bio</t>
  </si>
  <si>
    <t>select_multiple opcao_cadeia_bio</t>
  </si>
  <si>
    <t>mudanca_climaticas_cadeia_bio</t>
  </si>
  <si>
    <t>ampliar_producao_bio</t>
  </si>
  <si>
    <t>recebeu_apoio_bio</t>
  </si>
  <si>
    <t>opcao_apoio_bio</t>
  </si>
  <si>
    <t>select_multiple opcao_apoio_bio</t>
  </si>
  <si>
    <t>apoio_bio</t>
  </si>
  <si>
    <t>selected(${recebeu_apoio_bio}, '1')</t>
  </si>
  <si>
    <t>opcao_participa_cadeia_bio</t>
  </si>
  <si>
    <t>select_one opcao_participa_cadeia_bio</t>
  </si>
  <si>
    <t>participa_cadeia_bio</t>
  </si>
  <si>
    <t>opcao_jovem_participa_bio</t>
  </si>
  <si>
    <t>select_one opcao_jovem_participa_bio</t>
  </si>
  <si>
    <t>jovem_participa_bio</t>
  </si>
  <si>
    <t>importancia_produto_bio</t>
  </si>
  <si>
    <t>interesse_novos_bio</t>
  </si>
  <si>
    <t>quais_produtos_interesse_novos_bio</t>
  </si>
  <si>
    <t>selected(${interesse_novos_bio}, '1')</t>
  </si>
  <si>
    <t>7</t>
  </si>
  <si>
    <t>8</t>
  </si>
  <si>
    <t>Aspersão</t>
  </si>
  <si>
    <t>Gotejamento</t>
  </si>
  <si>
    <t>Irrigação por sulco/canaleta</t>
  </si>
  <si>
    <t>Poço</t>
  </si>
  <si>
    <t>Igarapé ou rio</t>
  </si>
  <si>
    <t>Cisterna</t>
  </si>
  <si>
    <t>Sistema comunitário</t>
  </si>
  <si>
    <t>9</t>
  </si>
  <si>
    <t>10</t>
  </si>
  <si>
    <t>11</t>
  </si>
  <si>
    <t>12</t>
  </si>
  <si>
    <t>opcao_tipo_propriedade</t>
  </si>
  <si>
    <t>Roça tradicional</t>
  </si>
  <si>
    <t>Sistemas agroflorestais</t>
  </si>
  <si>
    <t>Criação animal</t>
  </si>
  <si>
    <t>Extrativismo</t>
  </si>
  <si>
    <t>familia_mantem</t>
  </si>
  <si>
    <t>select_one opcao_tipo_propriedade</t>
  </si>
  <si>
    <t>tipo_propriedade_familia_mantem</t>
  </si>
  <si>
    <t>Tipo da propriedade</t>
  </si>
  <si>
    <t>area_mantem</t>
  </si>
  <si>
    <t>Área</t>
  </si>
  <si>
    <t>opcao_tipo_area</t>
  </si>
  <si>
    <t>Lavoura temporária</t>
  </si>
  <si>
    <t>Lavoura permanente</t>
  </si>
  <si>
    <t>Pastagem plantada</t>
  </si>
  <si>
    <t>Pastagem nativa</t>
  </si>
  <si>
    <t>Agrofloresta / SAFs</t>
  </si>
  <si>
    <t>Área de vegetação nativa preservada</t>
  </si>
  <si>
    <t>Outros uso</t>
  </si>
  <si>
    <t>opcao_destino_produto</t>
  </si>
  <si>
    <t>Consumo</t>
  </si>
  <si>
    <t>Venda</t>
  </si>
  <si>
    <t>Ambos</t>
  </si>
  <si>
    <t>area_utilizada</t>
  </si>
  <si>
    <t>select_one opcao_tipo_area</t>
  </si>
  <si>
    <t>tipo_area_utilizada</t>
  </si>
  <si>
    <t>Qual tipo de área</t>
  </si>
  <si>
    <t>area_utilizada_tipo</t>
  </si>
  <si>
    <t>Qual a área (ha)</t>
  </si>
  <si>
    <t>select_one opcao_destino_produto</t>
  </si>
  <si>
    <t>Destino</t>
  </si>
  <si>
    <t>cria_animais_tipo</t>
  </si>
  <si>
    <t>Cria animais</t>
  </si>
  <si>
    <t>tipo_animal_criacao</t>
  </si>
  <si>
    <t>Tipo do animal</t>
  </si>
  <si>
    <t>numero_animal_criacao</t>
  </si>
  <si>
    <t>Numero de animais</t>
  </si>
  <si>
    <t>producao_animal_criacao</t>
  </si>
  <si>
    <t>Produção (litros, dúzias etc)</t>
  </si>
  <si>
    <t>destino_animal_criacao</t>
  </si>
  <si>
    <t>mudanca_disponibilidade_agua_consumo</t>
  </si>
  <si>
    <t>opcao_evento_climatico</t>
  </si>
  <si>
    <t>Seca prolongada</t>
  </si>
  <si>
    <t>Chuvas intensas</t>
  </si>
  <si>
    <t>Enxurradas/alagamentos</t>
  </si>
  <si>
    <t>Frio intenso/geada</t>
  </si>
  <si>
    <t>opcao_ultimos_5_anos</t>
  </si>
  <si>
    <t>2020</t>
  </si>
  <si>
    <t>2021</t>
  </si>
  <si>
    <t>2022</t>
  </si>
  <si>
    <t>2023</t>
  </si>
  <si>
    <t>2024</t>
  </si>
  <si>
    <t>opcao_impacto_producao_evento_climatico</t>
  </si>
  <si>
    <t>Perda total</t>
  </si>
  <si>
    <t>Parcial</t>
  </si>
  <si>
    <t>tipo_evento_climatico</t>
  </si>
  <si>
    <t>selected(${producao_afetada}, '1')</t>
  </si>
  <si>
    <t>select_one opcao_evento_climatico</t>
  </si>
  <si>
    <t>tipo_evento_climatico_selecao</t>
  </si>
  <si>
    <t>Evento climático</t>
  </si>
  <si>
    <t>outro_evento_climatico</t>
  </si>
  <si>
    <t>Outro evento climático</t>
  </si>
  <si>
    <t>select_multiple opcao_ultimos_5_anos</t>
  </si>
  <si>
    <t>ano_ocorreu_evento_climatico</t>
  </si>
  <si>
    <t>Ano(s) que ocorreu(m)</t>
  </si>
  <si>
    <t>select_one opcao_impacto_producao_evento_climatico</t>
  </si>
  <si>
    <t>impacto_producao_evento_climatico</t>
  </si>
  <si>
    <t>Impacto na produção</t>
  </si>
  <si>
    <t>participou_politica_5_anos</t>
  </si>
  <si>
    <t>acessou_politica_publica_5_anos</t>
  </si>
  <si>
    <t>Acessou ?</t>
  </si>
  <si>
    <t>dificuldade_politica_publica_5_anos</t>
  </si>
  <si>
    <t>util_politica_publica_5_anos</t>
  </si>
  <si>
    <t>opcao_politica_publica</t>
  </si>
  <si>
    <t>PRONAF</t>
  </si>
  <si>
    <t>PAA</t>
  </si>
  <si>
    <t>PNAE</t>
  </si>
  <si>
    <t>Fomento do INCRA</t>
  </si>
  <si>
    <t>Seguro agrícola / Garantia safra</t>
  </si>
  <si>
    <t>Projetos de organizações/ONGs</t>
  </si>
  <si>
    <t>select_one opcao_politica_publica</t>
  </si>
  <si>
    <t>tipo_politica_publica_5_anos</t>
  </si>
  <si>
    <t>Política</t>
  </si>
  <si>
    <t>outro_politica_publica_5_anos</t>
  </si>
  <si>
    <t>Especificar outro</t>
  </si>
  <si>
    <t>selected(${tipo_politica_publica_5_anos}, '9')</t>
  </si>
  <si>
    <t>Teve dificuldade ?</t>
  </si>
  <si>
    <t>Considera útil para enfrentar mudanças climáticas?</t>
  </si>
  <si>
    <t>opcao_sistema_producao</t>
  </si>
  <si>
    <t>Cultivo</t>
  </si>
  <si>
    <t>Misto</t>
  </si>
  <si>
    <t>opcao_certificacao_produto_producao</t>
  </si>
  <si>
    <t>Orgânico</t>
  </si>
  <si>
    <t>Sociobiodiversidade</t>
  </si>
  <si>
    <t>Outra</t>
  </si>
  <si>
    <t>Nenhuma</t>
  </si>
  <si>
    <t>producao_bioeconomia_produtos</t>
  </si>
  <si>
    <t>select_one opcao_producao_bio</t>
  </si>
  <si>
    <t>produto_producao</t>
  </si>
  <si>
    <t>Produto</t>
  </si>
  <si>
    <t>select_one opcao_sistema_producao</t>
  </si>
  <si>
    <t>sistema_produto_producao</t>
  </si>
  <si>
    <t>Sistema de Produção</t>
  </si>
  <si>
    <t>volume_anual_produto_producao</t>
  </si>
  <si>
    <t>Volume anual</t>
  </si>
  <si>
    <t>beneficiado_produto_producao</t>
  </si>
  <si>
    <t>É beneficiado/processado</t>
  </si>
  <si>
    <t>select_one opcao_certificacao_produto_producao</t>
  </si>
  <si>
    <t>certificacao_produto_producao</t>
  </si>
  <si>
    <t>Certificação</t>
  </si>
  <si>
    <t>outra_certificacao_produto_producao</t>
  </si>
  <si>
    <t>Outra certiicação</t>
  </si>
  <si>
    <t>coordenadas_qualidade</t>
  </si>
  <si>
    <t>coordenadas_latitude</t>
  </si>
  <si>
    <t>coordenadas_longitude</t>
  </si>
  <si>
    <t>coordenadas_altitude</t>
  </si>
  <si>
    <t>coordenadas_tipo_coordenada</t>
  </si>
  <si>
    <t>Não Declarar</t>
  </si>
  <si>
    <t>local_nascimento_entrevistado</t>
  </si>
  <si>
    <t>Sem resposta</t>
  </si>
  <si>
    <t>1.1 Qual o nome do entrevistado ?</t>
  </si>
  <si>
    <t>1.1 Qual o sexo do entrevistado ?</t>
  </si>
  <si>
    <t>1.1 Qual a data de nascimento do entrevistado ?</t>
  </si>
  <si>
    <t>1.1 Local de Nascimento do entrevistado</t>
  </si>
  <si>
    <t>1.2 Qual a Raça/Etnia ?</t>
  </si>
  <si>
    <t>1.2 Especifique a raça/etnia</t>
  </si>
  <si>
    <t>1.3 Qual o estado civil do entrevistado ?</t>
  </si>
  <si>
    <t>1.4 Escolaridade do(a) chefe da família</t>
  </si>
  <si>
    <t>1.5 Familia Composição</t>
  </si>
  <si>
    <t>1.6 Renda familiar mensal</t>
  </si>
  <si>
    <t>1.7 A família é beneficiária de algum programa social?</t>
  </si>
  <si>
    <t>1.7 Outro programa social</t>
  </si>
  <si>
    <t>1.8 Quando se mudou para este assentamento?</t>
  </si>
  <si>
    <t>1.9 A família já viveu em outro assentamento?</t>
  </si>
  <si>
    <t>1.9 Qual assentamento a família viveu?</t>
  </si>
  <si>
    <t>1.10 A família se mudou para cá por motivos relacionados</t>
  </si>
  <si>
    <t>1.10 Outro motivo da mudança para o assentamento</t>
  </si>
  <si>
    <t>1.1.1 Você ou algum membro da sua família já migrou temporariamente para trabalhar fora?</t>
  </si>
  <si>
    <t>1.1.2 Se sim, quem migrou?</t>
  </si>
  <si>
    <t>1.1.2 Outro tipo de familiar que migrou</t>
  </si>
  <si>
    <t>1.1.2 Para onde migrou (cidade/estado)?</t>
  </si>
  <si>
    <t>1.1.3 Motivo da migração</t>
  </si>
  <si>
    <t>1.1.3 Outro motivo migração</t>
  </si>
  <si>
    <t>1.1.4 Você ou alguém da sua família já pensou em migrar por causa de problemas ambientais?</t>
  </si>
  <si>
    <t>1.1.4 Se sim, quais fatores pesaram nessa decisão?</t>
  </si>
  <si>
    <t>1.1.4 Outro fator decisão</t>
  </si>
  <si>
    <t>1.1.5 Frequência da migração sazonal por clima</t>
  </si>
  <si>
    <t>1.1.6 Tipo da migração</t>
  </si>
  <si>
    <t>1.1.7 Quantas vezes migrou nos últimos 10 anos?</t>
  </si>
  <si>
    <t>1.1.8 Você considera que sua família poderá migrar nos próximos 5 anos?</t>
  </si>
  <si>
    <t>1.1.8 Motivo provável (se sim):</t>
  </si>
  <si>
    <t>1.1.8 Outro motivo provável</t>
  </si>
  <si>
    <t>2.1 Fonte principal de renda da família</t>
  </si>
  <si>
    <t>2.1 Outra fonte de renda</t>
  </si>
  <si>
    <t>2.2. Temos perguntas sobre a área de plantio, você prefere responder como?</t>
  </si>
  <si>
    <t>select_one opcao_tipo_area_plantio</t>
  </si>
  <si>
    <t>tipo_area_plantio</t>
  </si>
  <si>
    <t>opcao_tipo_area_plantio</t>
  </si>
  <si>
    <t>Hectare</t>
  </si>
  <si>
    <t>Linha</t>
  </si>
  <si>
    <t>Alqueires</t>
  </si>
  <si>
    <t>tipo_area_plantio_outro</t>
  </si>
  <si>
    <t>selected(${tipo_area_plantio}, '4')</t>
  </si>
  <si>
    <t>2.2 Outra tipo de área</t>
  </si>
  <si>
    <t>2.3 A Família mantém</t>
  </si>
  <si>
    <t>2.4 Quanto tempo você passa nessas atividades?</t>
  </si>
  <si>
    <t>2.5 A renda familiar é formada por empregos</t>
  </si>
  <si>
    <t>2.6 A produção agrícola é destinada</t>
  </si>
  <si>
    <t>2.7 Como os produtos são comercializados?</t>
  </si>
  <si>
    <t>2.8 A família já participou de formação/capacitação técnica nos últimos 5 anos?</t>
  </si>
  <si>
    <t>2.8 Qual o tema principal?</t>
  </si>
  <si>
    <t>2.8 Outro tema de formação</t>
  </si>
  <si>
    <t>2.9 A família é inscrita no CadUnico</t>
  </si>
  <si>
    <t>3.1. Como prefere medir a sua área:</t>
  </si>
  <si>
    <t>tipo_area_agro</t>
  </si>
  <si>
    <t>tipo_area_agro_outro</t>
  </si>
  <si>
    <t>selected(${tipo_area_agro}, '4')</t>
  </si>
  <si>
    <t>3.1 Outra tipo de área</t>
  </si>
  <si>
    <t>3.2 Área total do lote</t>
  </si>
  <si>
    <t>3.3 Área utilizada para</t>
  </si>
  <si>
    <t>3.4 A família cria animais?</t>
  </si>
  <si>
    <t>3.5 Possui algum sistema de irrigação na produção agrícola?</t>
  </si>
  <si>
    <t>3.6 Se sim, qual o tipo de irrigação utilizado?</t>
  </si>
  <si>
    <t>3.6 Outro tipo de irrigação</t>
  </si>
  <si>
    <t>3.7 Qual a fonte da água utilizada na irrigação?</t>
  </si>
  <si>
    <t>3.7 Outra fonte de irrigaçao</t>
  </si>
  <si>
    <t>3.8 Possui cisterna de captação/armazenamento de água da chuva?</t>
  </si>
  <si>
    <t>3.9 Nos últimos 10 anos, já enfrentou escassez de água para a PRODUÇÃO?</t>
  </si>
  <si>
    <t>3.10 Em caso de SIM, qual o período máximo que sofreu sem água ou com disponibilidade insuficiente?</t>
  </si>
  <si>
    <t>periodo_disponibilidade_agua</t>
  </si>
  <si>
    <t>3.11 Como você classifica a mudança na disponibilidade de água para a PRODUÇÃO?
(1 nada grave/ 5 muito grave)</t>
  </si>
  <si>
    <t>mudanca_disponibilidade_agua</t>
  </si>
  <si>
    <t>alteracao_disponibilidade_agua_consumo</t>
  </si>
  <si>
    <t>3.13. Em caso de SIM, qual o período máximo que sofreu sem água ou com disponibilidade insuficiente para o CONSUMO?</t>
  </si>
  <si>
    <t>periodo_disponibilidade_agua_consumo</t>
  </si>
  <si>
    <t>selected(${alteracao_disponibilidade_agua_consumo}, '1')</t>
  </si>
  <si>
    <t>3.14. Como você classifica a mudança na disponibilidade de água para o CONSUMO?
(1 nada grave/ 5 muito grave)</t>
  </si>
  <si>
    <t>3.15 A família utiliza agrotóxicos ou fertilizantes químicos em sua produção?</t>
  </si>
  <si>
    <t>3.16 A produção da família é certificada ou participa de iniciativas de rastreabilidade?</t>
  </si>
  <si>
    <t>3.17 A família compartilha o uso do lote com outros núcleos familiares (ex: filhos casados, parentes)?</t>
  </si>
  <si>
    <t>3.18. A família obteve nos últimos 5 anos algum financiamento ou empréstimo?</t>
  </si>
  <si>
    <t>emprestimo</t>
  </si>
  <si>
    <t>finalidade_emprestimo</t>
  </si>
  <si>
    <t>select_multiple opcao_emprestimo</t>
  </si>
  <si>
    <t>3.19 Qual foi a finalidade?</t>
  </si>
  <si>
    <t>selected(${emprestimo}, '1')</t>
  </si>
  <si>
    <t>opcao_emprestimo</t>
  </si>
  <si>
    <t>Investimento</t>
  </si>
  <si>
    <t>Custeio</t>
  </si>
  <si>
    <t>Comercialização</t>
  </si>
  <si>
    <t>Manutenção</t>
  </si>
  <si>
    <t>opcao_recebimento</t>
  </si>
  <si>
    <t>Bancos</t>
  </si>
  <si>
    <t>Cooperativas</t>
  </si>
  <si>
    <t>Programa do Governo</t>
  </si>
  <si>
    <t>Parentes ou amigos</t>
  </si>
  <si>
    <t>3.20 De quem recebeu ?</t>
  </si>
  <si>
    <t>recebeu_emprestimo</t>
  </si>
  <si>
    <t>select_multiple opcao_recebimento</t>
  </si>
  <si>
    <t>4.1 A família utiliza recursos naturais da floresta?</t>
  </si>
  <si>
    <t>4.2 Qual a frequência da coleta</t>
  </si>
  <si>
    <t>4.3 Finalidade principal</t>
  </si>
  <si>
    <t>4.4 Como obtém esse recurso</t>
  </si>
  <si>
    <t>4.5 A família percebe mudanças na disponibilidade de recursos naturais (água, madeira, frutos etc.) nos últimos 10 anos?</t>
  </si>
  <si>
    <t>5.1 O(a) sr.(a) já ouviu falar sobre “mudanças climáticas”?</t>
  </si>
  <si>
    <t>5.2 Onde obteve a informação?</t>
  </si>
  <si>
    <t>5.2 Outro canal de comunicação</t>
  </si>
  <si>
    <t>5.3 Em uma escala de 1 a 5, como o(a) sr.(a) percebe que o clima tem mudado nos últimos 10 anos? (1 = Não percebeu nada | 5 = Percebeu muitas mudanças)</t>
  </si>
  <si>
    <t>5.4 Quais mudanças climáticas o(a) sr.(a) percebeu?</t>
  </si>
  <si>
    <t>5.5 Essas mudanças climáticas são percebidas em quais períodos do ano?</t>
  </si>
  <si>
    <t>5.6 Em sua opinião, quais são as causas dessas mudanças climáticas?</t>
  </si>
  <si>
    <t>5.6 Outra causa mudanças climática</t>
  </si>
  <si>
    <t>5.7 Em uma escala de 1 a 5, como o(a) sr(a). avalia o seu nível de preocupação com as mudanças climáticas? (1 = Nenhuma preocupação | 5 = Muito preocupado)</t>
  </si>
  <si>
    <t>5.8 O(a) sr(a). considera que as mudanças climáticas representam uma ameaça direta para sua família ou sua produção? (1 = Discordo totalmente | 5 = Concordo totalmente)</t>
  </si>
  <si>
    <t>5.9 As mudanças no clima têm afetado diretamente</t>
  </si>
  <si>
    <t>5.10 O(a) sr(a). considera que tem acesso à informação suficiente para entender o que está acontecendo com o clima?</t>
  </si>
  <si>
    <t>6.1 Sua produção já foi impactada por eventos climáticos extremos nos últimos 5 anos?</t>
  </si>
  <si>
    <t>6.1 Tipo de evento climático extremo nos últimos 5 anos</t>
  </si>
  <si>
    <t>6.2 Classifique o impacto das mudanças climáticas na Agricultura principal (1 (Nenhum) a 5 (Grave)</t>
  </si>
  <si>
    <t>6.2 Classifique o impacto das mudanças climáticas na Criação Animal (1 (Nenhum) a 5 (Grave)</t>
  </si>
  <si>
    <t>6.2 Classifique o impacto das mudanças climáticas na Extrativismo (1 (Nenhum) a 5 (Grave)</t>
  </si>
  <si>
    <t>6.2 Classifique o impacto das mudanças climáticas na Saúde familiar (1 (Nenhum) a 5 (Grave)</t>
  </si>
  <si>
    <t>6.3 Houve perdas na renda da família por conta desses eventos?</t>
  </si>
  <si>
    <t>6.4 A família recebeu algum apoio público ou privado para enfrentar essas perdas?</t>
  </si>
  <si>
    <t>6.4 Quais apoios políticos</t>
  </si>
  <si>
    <t>6.5 Quais estratégias a família utilizou para lidar com perdas relacionadas ao clima</t>
  </si>
  <si>
    <t>6.6 Em que medida sua família se sente preparada para lidar com eventos climáticos extremos (ex: seca, chuva intensa)? (1 = Nada preparada | 5 = Muito preparada)</t>
  </si>
  <si>
    <t>7.1. Você sabe o que é adaptação e mitigação climática?</t>
  </si>
  <si>
    <t>adaptacao_climatica</t>
  </si>
  <si>
    <t>select_one opcao_adaptacao_climatica</t>
  </si>
  <si>
    <t>opcao_adaptacao_climatica</t>
  </si>
  <si>
    <t>Já ouvi falar, mas não sei exatamente o que é</t>
  </si>
  <si>
    <t>7.2 A família adotou alguma prática para se adaptar às mudanças no clima?</t>
  </si>
  <si>
    <t>7.2 Se sim, quais ?</t>
  </si>
  <si>
    <t>7.2 Outra prática</t>
  </si>
  <si>
    <t>7.3 A família participou de alguma política pública nos últimos 5 anos ?</t>
  </si>
  <si>
    <t>7.4 Já recebeu orientações sobre como se adaptar ao clima por parte de</t>
  </si>
  <si>
    <t>7.4 Especfique o outro</t>
  </si>
  <si>
    <t>7.5 Em que medida o(a) sr(a). confia que as políticas públicas atuais apoiam adequadamente os(as) agricultores(as) frente às mudanças climáticas? (1 = Nenhuma confiança | 5 = Muita confiança)</t>
  </si>
  <si>
    <t>7.6 O(a) sr(a). gostaria de receber mais informações sobre como adaptar sua produção ao clima? (1 = Nada interessado | 5 = Muito interessado)</t>
  </si>
  <si>
    <t>7.7 A migração é uma forma de reduzir os riscos climáticos? (1 = Discordo totalmente | 5 = Concordo totalmente)</t>
  </si>
  <si>
    <t>7.8 O(a) sr(a). conhece ou já ouviu falar sobre “agroecologia”, “transição agroecológica” ou
“produção sustentável”?</t>
  </si>
  <si>
    <t>7.9 A família adota alguma das práticas abaixo?</t>
  </si>
  <si>
    <t>bioeconomia</t>
  </si>
  <si>
    <t>8.1 Você já ouviu falar sobre Bioeconomia?</t>
  </si>
  <si>
    <t>8.2 Produção de Produtos da bioeconomia</t>
  </si>
  <si>
    <t>Qual a importância para a renda familiar</t>
  </si>
  <si>
    <t>select_one opcao_importancia_renda</t>
  </si>
  <si>
    <t>importancia_renda</t>
  </si>
  <si>
    <t>opcao_importancia_renda</t>
  </si>
  <si>
    <t>Não gera renda</t>
  </si>
  <si>
    <t>Renda pequena</t>
  </si>
  <si>
    <t>Renda média</t>
  </si>
  <si>
    <t>Renda principal</t>
  </si>
  <si>
    <t>8.4 O(a) sr(a). comercializa esses produtos com apoio de:</t>
  </si>
  <si>
    <t>8.5 Quais as maiores dificuldades para ampliar a produção desses produtos na sua área?
(múltiplas respostas)</t>
  </si>
  <si>
    <t>8.5 Especfique o outro</t>
  </si>
  <si>
    <t>8.6 Como as mudanças climáticas afetam estas cadeias?</t>
  </si>
  <si>
    <t>8.7 Existe interesse em ampliar a produção e renda com esses produtos?</t>
  </si>
  <si>
    <t>8.8 Já recebeu apoio público ou privado para trabalhar com produtos da sociobiodiversidade?</t>
  </si>
  <si>
    <t>8.8 Se sim, quais ?</t>
  </si>
  <si>
    <t>8.9 A família participa de cadeia de valor estruturada para esses produtos?</t>
  </si>
  <si>
    <t>8.10 Os jovens da família estão interessados em dar continuidade a estas atividades?</t>
  </si>
  <si>
    <t>8.11 Qual a importância desses produtos para a renda familiar? (1 não é importante e 5 é
muito importante)</t>
  </si>
  <si>
    <t>8.12 A família teria interesse em atuar com novos produtos da floresta?</t>
  </si>
  <si>
    <t>8.12 Quais novos produtos</t>
  </si>
  <si>
    <t>Área de vegetação secundária capoeira</t>
  </si>
  <si>
    <t>BPC Benefício de Prestação Continuada</t>
  </si>
  <si>
    <t>Problemas ambientais no local anterior ex: seca, enchente</t>
  </si>
  <si>
    <t>Econômico emprego, terra</t>
  </si>
  <si>
    <t>Temporária volta ao assentamento</t>
  </si>
  <si>
    <t>Sazonal durante colheitas ou seca</t>
  </si>
  <si>
    <t>Benefícios sociais aposentadoria, Bolsa Família etc.</t>
  </si>
  <si>
    <t>Trabalho fora do lote diarista, servidor público etc.</t>
  </si>
  <si>
    <t>Predominantemente local 1 – 3 meses ano/fora</t>
  </si>
  <si>
    <t>Sazonal 4 – 8 meses fora</t>
  </si>
  <si>
    <t>Políticas públicas PAA, etc.</t>
  </si>
  <si>
    <t>Área de preservação permanente APP</t>
  </si>
  <si>
    <t>Assistência técnica Ater pública ou privada</t>
  </si>
  <si>
    <t>Programa de regularização ambiental CAR, PRA</t>
  </si>
  <si>
    <t>Falta de equipamentos</t>
  </si>
  <si>
    <t>Cacau</t>
  </si>
  <si>
    <t>Mel</t>
  </si>
  <si>
    <t>Pupunha</t>
  </si>
  <si>
    <t>Babaçu</t>
  </si>
  <si>
    <t>Urucum</t>
  </si>
  <si>
    <t>Bacuri</t>
  </si>
  <si>
    <t>Cupuaçu</t>
  </si>
  <si>
    <t>Borracha</t>
  </si>
  <si>
    <t>Buriti</t>
  </si>
  <si>
    <t>Copaiba</t>
  </si>
  <si>
    <t>Murici</t>
  </si>
  <si>
    <t>Tucumã</t>
  </si>
  <si>
    <t>Piquiá</t>
  </si>
  <si>
    <t>Cumaru</t>
  </si>
  <si>
    <t>Bacaba</t>
  </si>
  <si>
    <t>Plantas Medicinais</t>
  </si>
  <si>
    <t>Murumuru</t>
  </si>
  <si>
    <t>13</t>
  </si>
  <si>
    <t>14</t>
  </si>
  <si>
    <t>15</t>
  </si>
  <si>
    <t>16</t>
  </si>
  <si>
    <t>17</t>
  </si>
  <si>
    <t>18</t>
  </si>
  <si>
    <t>19</t>
  </si>
  <si>
    <t>20</t>
  </si>
  <si>
    <t>selected(${cria_animais}, '1')</t>
  </si>
  <si>
    <t>selected(${sistema_irrigacao}, '1')</t>
  </si>
  <si>
    <t>selected(${alteracao_disponibilidade_agua}, '1')</t>
  </si>
  <si>
    <t>selected(${usa_recurso_naturais}, '1')</t>
  </si>
  <si>
    <t>selected(${disponibilidade_recursos}, '1')</t>
  </si>
  <si>
    <t>4.5 Se sim, especifique</t>
  </si>
  <si>
    <t>4.6 Já lidou com alguma dessas situações</t>
  </si>
  <si>
    <t>selected(${tipo_evento_climatico_selecao}, '5')</t>
  </si>
  <si>
    <t>selected(${pratica_mudanca_clima}, '1')</t>
  </si>
  <si>
    <t>Solteiro(a)</t>
  </si>
  <si>
    <t>Casado(a) ou união estável</t>
  </si>
  <si>
    <t>Separado(a)/Divorciado(a)</t>
  </si>
  <si>
    <t>Viuvo(a)</t>
  </si>
  <si>
    <t>Filho(a)</t>
  </si>
  <si>
    <t>Madeira</t>
  </si>
  <si>
    <t>Castanha</t>
  </si>
  <si>
    <t>Açaí</t>
  </si>
  <si>
    <t>Plantas medicinais</t>
  </si>
  <si>
    <t>Outros:</t>
  </si>
  <si>
    <t>Semanal</t>
  </si>
  <si>
    <t>Mensal</t>
  </si>
  <si>
    <t>Sazonal</t>
  </si>
  <si>
    <t>Subsistência</t>
  </si>
  <si>
    <t>Comércio local</t>
  </si>
  <si>
    <t>Cadeias formais</t>
  </si>
  <si>
    <t>Coleta simples</t>
  </si>
  <si>
    <t>Manejo sustentável</t>
  </si>
  <si>
    <t>1-3 meses</t>
  </si>
  <si>
    <t>4 – 6 meses</t>
  </si>
  <si>
    <t>Mais de 6 meses</t>
  </si>
  <si>
    <t>Não sabe dizer</t>
  </si>
  <si>
    <t>Conflitos por acesso a recursos</t>
  </si>
  <si>
    <t>Conflitos por áreas de coleta/extrativismo</t>
  </si>
  <si>
    <t>Pressão por desmatamento externo</t>
  </si>
  <si>
    <t>Rádio</t>
  </si>
  <si>
    <t>TV</t>
  </si>
  <si>
    <t>Agentes técnicos</t>
  </si>
  <si>
    <t>Organizações</t>
  </si>
  <si>
    <t>Redes sociais</t>
  </si>
  <si>
    <t>Aumento da temperatura média</t>
  </si>
  <si>
    <t>Redução na quantidade de chuvas</t>
  </si>
  <si>
    <t>Atraso ou irregularidade no início das chuvas</t>
  </si>
  <si>
    <t>Períodos de seca mais longos</t>
  </si>
  <si>
    <t>Chuvas mais fortes em menos tempo</t>
  </si>
  <si>
    <t>Geadas ou friagens mais intensas</t>
  </si>
  <si>
    <t>Enchentes ou alagamentos</t>
  </si>
  <si>
    <t>Mudanças nos ventos</t>
  </si>
  <si>
    <t>Alteração no fluxo dos rios/igarapés</t>
  </si>
  <si>
    <t>Mudança no período de frutificação</t>
  </si>
  <si>
    <t>Aparecimento de novas pragas</t>
  </si>
  <si>
    <t>Inverno</t>
  </si>
  <si>
    <t>Verão</t>
  </si>
  <si>
    <t>Não sabe identificar</t>
  </si>
  <si>
    <t>Desmatamento</t>
  </si>
  <si>
    <t>Queima de vegetação</t>
  </si>
  <si>
    <t>Uso de agrotóxicos</t>
  </si>
  <si>
    <t>Atividades industriais</t>
  </si>
  <si>
    <t>Expansão urbana</t>
  </si>
  <si>
    <t>Atividades minerárias</t>
  </si>
  <si>
    <t>Causas naturais</t>
  </si>
  <si>
    <t>Calendário agrícola</t>
  </si>
  <si>
    <t>Produtividade das lavouras</t>
  </si>
  <si>
    <t>Saúde dos animais</t>
  </si>
  <si>
    <t>Saúde das pessoas da família</t>
  </si>
  <si>
    <t>Condições de armazenamento</t>
  </si>
  <si>
    <t>Renda familiar</t>
  </si>
  <si>
    <t>Infraestrutura estradas, energia etc.</t>
  </si>
  <si>
    <t>Qualidade da água</t>
  </si>
  <si>
    <t>Segurança alimentar</t>
  </si>
  <si>
    <t>Disponibilidade de produtos florestais</t>
  </si>
  <si>
    <t>Cheias / enchentes</t>
  </si>
  <si>
    <t>Perda de produtividade</t>
  </si>
  <si>
    <t>Escassez de água</t>
  </si>
  <si>
    <t>Desmatamento na região</t>
  </si>
  <si>
    <t>Crédito emergencial</t>
  </si>
  <si>
    <t>Distribuição de alimentos/insumos</t>
  </si>
  <si>
    <t>Assistência técnica</t>
  </si>
  <si>
    <t>Endividamento</t>
  </si>
  <si>
    <t>Ajuda de parentes ou vizinhos</t>
  </si>
  <si>
    <t>Migração temporária para trabalho externo</t>
  </si>
  <si>
    <t>Corte de gastos essenciais</t>
  </si>
  <si>
    <t>Venda de animais ou bens</t>
  </si>
  <si>
    <t>Nenhuma estratégia específica</t>
  </si>
  <si>
    <t>Plantio em época diferente</t>
  </si>
  <si>
    <t>Cultivo de variedades mais resistentes</t>
  </si>
  <si>
    <t>Uso de irrigação</t>
  </si>
  <si>
    <t>Rotação de culturas</t>
  </si>
  <si>
    <t>Outras</t>
  </si>
  <si>
    <t>Técnico da cooperativa</t>
  </si>
  <si>
    <t>EMATER ou órgão público</t>
  </si>
  <si>
    <t>ONG</t>
  </si>
  <si>
    <t>Universidade ou instituto de pesquisa</t>
  </si>
  <si>
    <t>Nunca recebeu</t>
  </si>
  <si>
    <t>Já ouviu, mas não conhece bem</t>
  </si>
  <si>
    <t>Recuperação de pastagens</t>
  </si>
  <si>
    <t>Integração lavoura-pecuária-floresta ILPF</t>
  </si>
  <si>
    <t>Compostagem</t>
  </si>
  <si>
    <t>Manejo sustentável da vegetação</t>
  </si>
  <si>
    <t>Plantio direto</t>
  </si>
  <si>
    <t>Castanha do Pará</t>
  </si>
  <si>
    <t>Andiroba</t>
  </si>
  <si>
    <t>Cooperativa</t>
  </si>
  <si>
    <t>Intermediário</t>
  </si>
  <si>
    <t>Programa público PAA, PNAE</t>
  </si>
  <si>
    <t>Venda direta feiras, vizinhos</t>
  </si>
  <si>
    <t>Falta de assistência técnica</t>
  </si>
  <si>
    <t>Falta de mercado/comprador</t>
  </si>
  <si>
    <t>Dificuldade logística</t>
  </si>
  <si>
    <t>Legislação ambiental/sanitária</t>
  </si>
  <si>
    <t>Falta de infraestrutura</t>
  </si>
  <si>
    <t>Impactos climáticos</t>
  </si>
  <si>
    <t>Dificuldade de organização coletiva</t>
  </si>
  <si>
    <t>Alteração na disponibilidade do produto</t>
  </si>
  <si>
    <t>Mudança nos ciclos de produção</t>
  </si>
  <si>
    <t>Dificuldade de armazenamento</t>
  </si>
  <si>
    <t>Problemas no transporte</t>
  </si>
  <si>
    <t>Nenhum efeito perceptível</t>
  </si>
  <si>
    <t>Capacitação técnica</t>
  </si>
  <si>
    <t>Equipamentos</t>
  </si>
  <si>
    <t>Acesso a mercados</t>
  </si>
  <si>
    <t>Crédito específico</t>
  </si>
  <si>
    <t>Sim, por meio de cooperativa ou associação</t>
  </si>
  <si>
    <t>Sim, diretamente com compradores fixos</t>
  </si>
  <si>
    <t>Não participa de nenhuma cadeia estruturada</t>
  </si>
  <si>
    <t>Sim, todos</t>
  </si>
  <si>
    <t>Alguns</t>
  </si>
  <si>
    <t>Não se aplica</t>
  </si>
  <si>
    <t>opcao_tipo_composicao_familia</t>
  </si>
  <si>
    <t>Mulheres (menores de 14 anos)</t>
  </si>
  <si>
    <t>Mulheres (maiores de 14 anos)</t>
  </si>
  <si>
    <t>Homens (menores de 14 anos)</t>
  </si>
  <si>
    <t>Homens (maiores de 14 anos)</t>
  </si>
  <si>
    <t>Qual a qualidade da coordenada do GPS ?</t>
  </si>
  <si>
    <t>Qual a latitude da coordenada do GPS ?</t>
  </si>
  <si>
    <t>Qual a longitude da coordenada do GPS ?</t>
  </si>
  <si>
    <t>Qual a altitude da coordenada do GPS ?</t>
  </si>
  <si>
    <t>Qual o Tipo de Coordenada do GPS ?</t>
  </si>
  <si>
    <t>select_one opcao_tipo_composicao_familia</t>
  </si>
  <si>
    <t>tipo_familia_composicao</t>
  </si>
  <si>
    <t>Composição da Família</t>
  </si>
  <si>
    <t>composicao_familia_numero_pessoas</t>
  </si>
  <si>
    <t>Número de pessoas</t>
  </si>
  <si>
    <t>selected(${migrar_por_problemas_ambientais}, '1')</t>
  </si>
  <si>
    <t>3.12. Percebeu alteração na disponibilidade de água para CONSUMO nos últimos 10 anos?</t>
  </si>
  <si>
    <t>Diária</t>
  </si>
  <si>
    <t>opcao_outros_produtos_agricolas</t>
  </si>
  <si>
    <t>Produzo outros produtos</t>
  </si>
  <si>
    <t>Não produzo mais nenhum produto</t>
  </si>
  <si>
    <t>outra_estrategia_perda_clima</t>
  </si>
  <si>
    <t>Outra estratégia para lidar com perdas relacionadas ao clima</t>
  </si>
  <si>
    <t>selected(${estrategia_perda_clima}, '9')</t>
  </si>
  <si>
    <t>select_one opcao_outros_produtos_agricolas</t>
  </si>
  <si>
    <t>outros_produtos_agricolas</t>
  </si>
  <si>
    <t>8.3 Quais outros produtos agrícolas família cultiva?</t>
  </si>
  <si>
    <t>detalhe_outros_produtos_agricolas</t>
  </si>
  <si>
    <t>Detalhamento de outros produtos cultivados</t>
  </si>
  <si>
    <t>selected(${outros_produtos_agricolas}, '3')</t>
  </si>
  <si>
    <t>outros_produtos_produto_cultivado</t>
  </si>
  <si>
    <t>Produto cultivado</t>
  </si>
  <si>
    <t>outros_produtos_area</t>
  </si>
  <si>
    <t>outros_produtos_quantidade_produzida</t>
  </si>
  <si>
    <t>Quantidade produzida (kg ou unidade)</t>
  </si>
  <si>
    <t>outros_produtos_frequencia</t>
  </si>
  <si>
    <t>Em que frequência ?</t>
  </si>
  <si>
    <t>outros_produtos_destino</t>
  </si>
  <si>
    <t>outro_apoio_trabalho_sociobiodiversidade</t>
  </si>
  <si>
    <t>Outro tipo de apoio para trabalhar como produtos da sociobiodiversidade</t>
  </si>
  <si>
    <t>selected(${apoio_bio}, '5')</t>
  </si>
  <si>
    <t>select_multiple opcao_produto_comercializado</t>
  </si>
  <si>
    <t>quais_recurso_usa_floresta</t>
  </si>
  <si>
    <t>4.1 Quais recursos naturais utiliza ?</t>
  </si>
  <si>
    <t>select_one opcao_recursos_naturais</t>
  </si>
  <si>
    <t>recursos_naturais_usa</t>
  </si>
  <si>
    <t>4.1 Qual o produto ?</t>
  </si>
  <si>
    <t>4.1 Outro recurso natural ?</t>
  </si>
  <si>
    <t>selected(${recursos_naturais_usa},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</si>
</sst>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i/>
      <sz val="12"/>
      <color rgb="FF000000"/>
      <name val="Calibri"/>
      <family val="2"/>
    </font>
    <font>
      <b/>
      <sz val="12"/>
      <color rgb="FF000000"/>
      <name val="Calibri"/>
      <family val="2"/>
    </font>
    <font>
      <sz val="12"/>
      <name val="Calibri"/>
      <family val="2"/>
    </font>
    <font>
      <sz val="12"/>
      <color rgb="FF000000"/>
      <name val="Times New Roman"/>
      <family val="1"/>
    </font>
    <font>
      <b/>
      <sz val="12"/>
      <color rgb="FF000000"/>
      <name val="Times New Roman"/>
      <family val="1"/>
    </font>
    <font>
      <sz val="10"/>
      <color rgb="FF000000"/>
      <name val="Arial"/>
      <family val="2"/>
    </font>
    <font>
      <sz val="12"/>
      <color rgb="FF000000"/>
      <name val="Arial"/>
      <family val="2"/>
    </font>
    <font>
      <sz val="12"/>
      <color rgb="FF000000"/>
      <name val="Calibri"/>
      <family val="2"/>
      <scheme val="minor"/>
    </font>
    <font>
      <b/>
      <sz val="12"/>
      <color rgb="FF00000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rgb="FFD8E4BC"/>
        <bgColor rgb="FF000000"/>
      </patternFill>
    </fill>
  </fills>
  <borders count="2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indexed="64"/>
      </top>
      <bottom style="thin">
        <color rgb="FFBFBFBF"/>
      </bottom>
      <diagonal/>
    </border>
    <border>
      <left style="thin">
        <color theme="0" tint="-0.499984740745262"/>
      </left>
      <right style="thin">
        <color theme="0" tint="-0.499984740745262"/>
      </right>
      <top/>
      <bottom/>
      <diagonal/>
    </border>
    <border>
      <left style="thin">
        <color theme="0" tint="-0.249977111117893"/>
      </left>
      <right style="thin">
        <color theme="0" tint="-0.249977111117893"/>
      </right>
      <top/>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110">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16" fillId="7" borderId="9" xfId="0" applyFont="1" applyFill="1" applyBorder="1" applyAlignment="1">
      <alignment horizontal="left" vertical="top" wrapText="1"/>
    </xf>
    <xf numFmtId="0" fontId="15" fillId="3" borderId="1" xfId="0" applyFont="1" applyFill="1" applyBorder="1" applyAlignment="1">
      <alignment horizontal="center" wrapText="1"/>
    </xf>
    <xf numFmtId="0" fontId="0" fillId="0" borderId="0" xfId="0" applyAlignment="1">
      <alignment horizontal="center" wrapText="1"/>
    </xf>
    <xf numFmtId="0" fontId="0" fillId="3" borderId="11" xfId="0" applyFill="1" applyBorder="1"/>
    <xf numFmtId="0" fontId="0" fillId="3" borderId="11" xfId="0" applyFill="1" applyBorder="1" applyAlignment="1">
      <alignment horizontal="center" wrapText="1"/>
    </xf>
    <xf numFmtId="0" fontId="0" fillId="3" borderId="12" xfId="0" applyFill="1" applyBorder="1" applyAlignment="1">
      <alignment wrapText="1"/>
    </xf>
    <xf numFmtId="0" fontId="0" fillId="3" borderId="12" xfId="0" applyFill="1" applyBorder="1"/>
    <xf numFmtId="0" fontId="12" fillId="5" borderId="15"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0" xfId="0" applyFill="1" applyAlignment="1">
      <alignment horizontal="left" vertical="top" wrapText="1"/>
    </xf>
    <xf numFmtId="0" fontId="6"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6" fillId="2" borderId="12" xfId="0" applyFont="1" applyFill="1" applyBorder="1"/>
    <xf numFmtId="0" fontId="6" fillId="2" borderId="12" xfId="0" applyFont="1" applyFill="1" applyBorder="1" applyAlignment="1">
      <alignment wrapText="1"/>
    </xf>
    <xf numFmtId="0" fontId="0" fillId="4" borderId="12" xfId="0" applyFill="1" applyBorder="1" applyAlignment="1">
      <alignment horizontal="left" vertical="top" wrapText="1"/>
    </xf>
    <xf numFmtId="0" fontId="0" fillId="4" borderId="12" xfId="0" applyFill="1" applyBorder="1" applyAlignment="1">
      <alignment vertical="top"/>
    </xf>
    <xf numFmtId="0" fontId="6" fillId="2" borderId="18" xfId="0" applyFont="1" applyFill="1" applyBorder="1"/>
    <xf numFmtId="0" fontId="6" fillId="2" borderId="18" xfId="0" applyFont="1" applyFill="1" applyBorder="1" applyAlignment="1">
      <alignment wrapText="1"/>
    </xf>
    <xf numFmtId="0" fontId="7" fillId="2" borderId="18" xfId="0" applyFont="1" applyFill="1" applyBorder="1" applyAlignment="1">
      <alignment wrapText="1"/>
    </xf>
    <xf numFmtId="0" fontId="0" fillId="4" borderId="0" xfId="0" applyFill="1" applyAlignment="1">
      <alignment vertical="top" wrapText="1"/>
    </xf>
    <xf numFmtId="0" fontId="17" fillId="4" borderId="12" xfId="1" applyNumberFormat="1" applyFont="1" applyFill="1" applyBorder="1" applyAlignment="1" applyProtection="1">
      <alignment horizontal="left" vertical="top" wrapText="1"/>
    </xf>
    <xf numFmtId="0" fontId="2" fillId="6" borderId="1" xfId="1" applyNumberFormat="1" applyFill="1" applyBorder="1" applyAlignment="1" applyProtection="1">
      <alignment horizontal="left" vertical="top"/>
    </xf>
    <xf numFmtId="0" fontId="2" fillId="6" borderId="0" xfId="1" applyNumberFormat="1" applyFill="1" applyAlignment="1" applyProtection="1"/>
    <xf numFmtId="0" fontId="0" fillId="4" borderId="18" xfId="0" applyFill="1" applyBorder="1" applyAlignment="1">
      <alignment horizontal="left" vertical="top" wrapText="1"/>
    </xf>
    <xf numFmtId="0" fontId="0" fillId="4" borderId="18" xfId="0" applyFill="1" applyBorder="1" applyAlignment="1">
      <alignment vertical="top"/>
    </xf>
    <xf numFmtId="49" fontId="17" fillId="4" borderId="12" xfId="1" applyNumberFormat="1" applyFont="1" applyFill="1" applyBorder="1" applyAlignment="1" applyProtection="1">
      <alignment vertical="top" wrapText="1"/>
    </xf>
    <xf numFmtId="49" fontId="0" fillId="4" borderId="12" xfId="0" applyNumberFormat="1" applyFill="1" applyBorder="1" applyAlignment="1">
      <alignment vertical="top" wrapText="1"/>
    </xf>
    <xf numFmtId="0" fontId="17" fillId="4" borderId="12" xfId="1" applyFont="1" applyFill="1" applyBorder="1" applyAlignment="1" applyProtection="1">
      <alignment vertical="top"/>
    </xf>
    <xf numFmtId="0" fontId="17" fillId="4" borderId="12" xfId="1" applyFont="1" applyFill="1" applyBorder="1" applyAlignment="1" applyProtection="1">
      <alignment vertical="top" wrapText="1"/>
    </xf>
    <xf numFmtId="0" fontId="0" fillId="4" borderId="12" xfId="0" applyFill="1" applyBorder="1" applyAlignment="1">
      <alignment horizontal="left" vertical="top"/>
    </xf>
    <xf numFmtId="0" fontId="17" fillId="4" borderId="12" xfId="1" applyFont="1" applyFill="1" applyBorder="1" applyAlignment="1" applyProtection="1">
      <alignment horizontal="left" vertical="top"/>
    </xf>
    <xf numFmtId="0" fontId="17" fillId="4" borderId="12" xfId="1" applyFont="1" applyFill="1" applyBorder="1" applyAlignment="1" applyProtection="1">
      <alignment horizontal="left" vertical="top" wrapText="1"/>
    </xf>
    <xf numFmtId="0" fontId="0" fillId="4" borderId="12" xfId="0" applyFill="1" applyBorder="1" applyAlignment="1">
      <alignment vertical="top" wrapText="1"/>
    </xf>
    <xf numFmtId="0" fontId="17" fillId="4" borderId="12" xfId="1" applyNumberFormat="1" applyFont="1" applyFill="1" applyBorder="1" applyAlignment="1" applyProtection="1">
      <alignment vertical="top" wrapText="1"/>
    </xf>
    <xf numFmtId="0" fontId="22" fillId="0" borderId="0" xfId="0" applyFont="1"/>
    <xf numFmtId="0" fontId="21" fillId="0" borderId="0" xfId="0" applyFont="1"/>
    <xf numFmtId="0" fontId="20" fillId="0" borderId="22" xfId="0" applyFont="1" applyBorder="1"/>
    <xf numFmtId="16" fontId="3" fillId="0" borderId="2" xfId="0" applyNumberFormat="1" applyFont="1" applyBorder="1"/>
    <xf numFmtId="0" fontId="23" fillId="0" borderId="0" xfId="0" applyFont="1"/>
    <xf numFmtId="0" fontId="24" fillId="0" borderId="0" xfId="0" applyFont="1"/>
    <xf numFmtId="49" fontId="5" fillId="2" borderId="1" xfId="0" applyNumberFormat="1" applyFont="1" applyFill="1" applyBorder="1" applyAlignment="1">
      <alignment wrapText="1"/>
    </xf>
    <xf numFmtId="0" fontId="22" fillId="0" borderId="0" xfId="0" applyFont="1" applyAlignment="1">
      <alignment wrapText="1"/>
    </xf>
    <xf numFmtId="49" fontId="5" fillId="0" borderId="0" xfId="0" applyNumberFormat="1" applyFont="1" applyAlignment="1">
      <alignment wrapText="1"/>
    </xf>
    <xf numFmtId="0" fontId="5" fillId="0" borderId="23" xfId="0" applyFont="1" applyBorder="1"/>
    <xf numFmtId="0" fontId="0" fillId="0" borderId="0" xfId="0" applyAlignment="1">
      <alignment horizontal="left"/>
    </xf>
    <xf numFmtId="0" fontId="25" fillId="0" borderId="0" xfId="0" applyFont="1"/>
    <xf numFmtId="0" fontId="26" fillId="0" borderId="0" xfId="0" applyFont="1"/>
    <xf numFmtId="0" fontId="26" fillId="0" borderId="0" xfId="0" applyFont="1" applyAlignment="1">
      <alignment wrapText="1"/>
    </xf>
    <xf numFmtId="0" fontId="0" fillId="0" borderId="24" xfId="0" applyBorder="1"/>
    <xf numFmtId="0" fontId="16" fillId="8" borderId="9" xfId="0" applyFont="1" applyFill="1" applyBorder="1"/>
    <xf numFmtId="0" fontId="16" fillId="8" borderId="0" xfId="0" applyFont="1" applyFill="1"/>
    <xf numFmtId="49" fontId="5" fillId="0" borderId="1" xfId="0" applyNumberFormat="1" applyFont="1" applyBorder="1" applyAlignment="1">
      <alignment horizontal="left" vertical="top" wrapText="1"/>
    </xf>
    <xf numFmtId="0" fontId="5" fillId="0" borderId="0" xfId="0" applyFont="1" applyAlignment="1">
      <alignment wrapText="1"/>
    </xf>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17" fillId="3" borderId="21" xfId="1" applyFont="1" applyFill="1" applyBorder="1" applyAlignment="1" applyProtection="1">
      <alignment horizontal="left" vertical="top"/>
    </xf>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left" vertical="center" wrapText="1"/>
    </xf>
    <xf numFmtId="0" fontId="0" fillId="4" borderId="10" xfId="0" applyFill="1" applyBorder="1" applyAlignment="1">
      <alignment horizontal="left" vertical="center" wrapText="1"/>
    </xf>
    <xf numFmtId="0" fontId="13" fillId="6" borderId="1" xfId="0" applyFont="1" applyFill="1" applyBorder="1" applyAlignment="1">
      <alignment horizontal="left"/>
    </xf>
    <xf numFmtId="0" fontId="13" fillId="3" borderId="12" xfId="0" applyFont="1" applyFill="1" applyBorder="1" applyAlignment="1">
      <alignment horizontal="left"/>
    </xf>
    <xf numFmtId="0" fontId="17" fillId="4" borderId="16" xfId="1" applyNumberFormat="1" applyFont="1" applyFill="1" applyBorder="1" applyAlignment="1" applyProtection="1">
      <alignment horizontal="left" vertical="top" wrapText="1"/>
    </xf>
    <xf numFmtId="0" fontId="17" fillId="4" borderId="17" xfId="1" applyNumberFormat="1" applyFont="1" applyFill="1" applyBorder="1" applyAlignment="1" applyProtection="1">
      <alignment horizontal="left" vertical="top" wrapText="1"/>
    </xf>
    <xf numFmtId="0" fontId="17" fillId="4" borderId="15" xfId="1" applyNumberFormat="1" applyFont="1" applyFill="1" applyBorder="1" applyAlignment="1" applyProtection="1">
      <alignment horizontal="left" vertical="top" wrapText="1"/>
    </xf>
    <xf numFmtId="0" fontId="17" fillId="4" borderId="10" xfId="1" applyNumberFormat="1" applyFont="1" applyFill="1" applyBorder="1" applyAlignment="1" applyProtection="1">
      <alignment horizontal="left" vertical="top"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cellXfs>
  <cellStyles count="108">
    <cellStyle name="Hiperlink" xfId="1" builtinId="8"/>
    <cellStyle name="Hiperlink Visitado" xfId="3" builtinId="9" hidden="1"/>
    <cellStyle name="Hiperlink Visitado" xfId="4" builtinId="9" hidden="1"/>
    <cellStyle name="Hiperlink Visitado" xfId="5" builtinId="9" hidden="1"/>
    <cellStyle name="Hiperlink Visitado" xfId="6" builtinId="9" hidden="1"/>
    <cellStyle name="Hiperlink Visitado" xfId="7" builtinId="9" hidden="1"/>
    <cellStyle name="Hiperlink Visitado" xfId="8" builtinId="9" hidden="1"/>
    <cellStyle name="Hiperlink Visitado" xfId="9" builtinId="9" hidden="1"/>
    <cellStyle name="Hiperlink Visitado" xfId="10" builtinId="9" hidden="1"/>
    <cellStyle name="Hiperlink Visitado" xfId="11" builtinId="9" hidden="1"/>
    <cellStyle name="Hiperlink Visitado" xfId="12" builtinId="9" hidden="1"/>
    <cellStyle name="Hiperlink Visitado" xfId="13" builtinId="9" hidden="1"/>
    <cellStyle name="Hiperlink Visitado" xfId="14" builtinId="9" hidden="1"/>
    <cellStyle name="Hiperlink Visitado" xfId="15" builtinId="9" hidden="1"/>
    <cellStyle name="Hiperlink Visitado" xfId="16" builtinId="9" hidden="1"/>
    <cellStyle name="Hiperlink Visitado" xfId="17" builtinId="9" hidden="1"/>
    <cellStyle name="Hiperlink Visitado" xfId="18" builtinId="9" hidden="1"/>
    <cellStyle name="Hiperlink Visitado" xfId="19" builtinId="9" hidden="1"/>
    <cellStyle name="Hiperlink Visitado" xfId="20" builtinId="9" hidden="1"/>
    <cellStyle name="Hiperlink Visitado" xfId="21" builtinId="9" hidden="1"/>
    <cellStyle name="Hiperlink Visitado" xfId="22" builtinId="9" hidden="1"/>
    <cellStyle name="Hiperlink Visitado" xfId="23" builtinId="9" hidden="1"/>
    <cellStyle name="Hiperlink Visitado" xfId="24" builtinId="9" hidden="1"/>
    <cellStyle name="Hiperlink Visitado" xfId="25" builtinId="9" hidden="1"/>
    <cellStyle name="Hiperlink Visitado" xfId="26" builtinId="9" hidden="1"/>
    <cellStyle name="Hiperlink Visitado" xfId="27" builtinId="9" hidden="1"/>
    <cellStyle name="Hiperlink Visitado" xfId="28" builtinId="9" hidden="1"/>
    <cellStyle name="Hiperlink Visitado" xfId="29" builtinId="9" hidden="1"/>
    <cellStyle name="Hiperlink Visitado" xfId="30" builtinId="9" hidden="1"/>
    <cellStyle name="Hiperlink Visitado" xfId="31" builtinId="9" hidden="1"/>
    <cellStyle name="Hiperlink Visitado" xfId="32" builtinId="9" hidden="1"/>
    <cellStyle name="Hiperlink Visitado" xfId="33" builtinId="9" hidden="1"/>
    <cellStyle name="Hiperlink Visitado" xfId="34" builtinId="9" hidden="1"/>
    <cellStyle name="Hiperlink Visitado" xfId="35" builtinId="9" hidden="1"/>
    <cellStyle name="Hiperlink Visitado" xfId="36" builtinId="9" hidden="1"/>
    <cellStyle name="Hiperlink Visitado" xfId="37" builtinId="9" hidden="1"/>
    <cellStyle name="Hiperlink Visitado" xfId="38" builtinId="9" hidden="1"/>
    <cellStyle name="Hiperlink Visitado" xfId="39" builtinId="9" hidden="1"/>
    <cellStyle name="Hiperlink Visitado" xfId="40" builtinId="9" hidden="1"/>
    <cellStyle name="Hiperlink Visitado" xfId="41" builtinId="9" hidden="1"/>
    <cellStyle name="Hiperlink Visitado" xfId="42" builtinId="9" hidden="1"/>
    <cellStyle name="Hiperlink Visitado" xfId="43" builtinId="9" hidden="1"/>
    <cellStyle name="Hiperlink Visitado" xfId="44" builtinId="9" hidden="1"/>
    <cellStyle name="Hiperlink Visitado" xfId="45" builtinId="9" hidden="1"/>
    <cellStyle name="Hiperlink Visitado" xfId="46" builtinId="9" hidden="1"/>
    <cellStyle name="Hiperlink Visitado" xfId="47" builtinId="9" hidden="1"/>
    <cellStyle name="Hiperlink Visitado" xfId="48" builtinId="9" hidden="1"/>
    <cellStyle name="Hiperlink Visitado" xfId="49" builtinId="9" hidden="1"/>
    <cellStyle name="Hiperlink Visitado" xfId="50" builtinId="9" hidden="1"/>
    <cellStyle name="Hiperlink Visitado" xfId="51" builtinId="9" hidden="1"/>
    <cellStyle name="Hiperlink Visitado" xfId="52" builtinId="9" hidden="1"/>
    <cellStyle name="Hiperlink Visitado" xfId="53" builtinId="9" hidden="1"/>
    <cellStyle name="Hiperlink Visitado" xfId="54" builtinId="9" hidden="1"/>
    <cellStyle name="Hiperlink Visitado" xfId="55" builtinId="9" hidden="1"/>
    <cellStyle name="Hiperlink Visitado" xfId="56" builtinId="9" hidden="1"/>
    <cellStyle name="Hiperlink Visitado" xfId="57" builtinId="9" hidden="1"/>
    <cellStyle name="Hiperlink Visitado" xfId="58" builtinId="9" hidden="1"/>
    <cellStyle name="Hiperlink Visitado" xfId="59" builtinId="9" hidden="1"/>
    <cellStyle name="Hiperlink Visitado" xfId="60" builtinId="9" hidden="1"/>
    <cellStyle name="Hiperlink Visitado" xfId="61" builtinId="9" hidden="1"/>
    <cellStyle name="Hiperlink Visitado" xfId="62" builtinId="9" hidden="1"/>
    <cellStyle name="Hiperlink Visitado" xfId="63" builtinId="9" hidden="1"/>
    <cellStyle name="Hiperlink Visitado" xfId="64" builtinId="9" hidden="1"/>
    <cellStyle name="Hiperlink Visitado" xfId="65" builtinId="9" hidden="1"/>
    <cellStyle name="Hiperlink Visitado" xfId="66" builtinId="9" hidden="1"/>
    <cellStyle name="Hiperlink Visitado" xfId="67" builtinId="9" hidden="1"/>
    <cellStyle name="Hiperlink Visitado" xfId="68" builtinId="9" hidden="1"/>
    <cellStyle name="Hiperlink Visitado" xfId="69" builtinId="9" hidden="1"/>
    <cellStyle name="Hiperlink Visitado" xfId="70" builtinId="9" hidden="1"/>
    <cellStyle name="Hiperlink Visitado" xfId="71" builtinId="9" hidden="1"/>
    <cellStyle name="Hiperlink Visitado" xfId="72" builtinId="9" hidden="1"/>
    <cellStyle name="Hiperlink Visitado" xfId="73" builtinId="9" hidden="1"/>
    <cellStyle name="Hiperlink Visitado" xfId="74" builtinId="9" hidden="1"/>
    <cellStyle name="Hiperlink Visitado" xfId="75" builtinId="9" hidden="1"/>
    <cellStyle name="Hiperlink Visitado" xfId="76" builtinId="9" hidden="1"/>
    <cellStyle name="Hiperlink Visitado" xfId="77" builtinId="9" hidden="1"/>
    <cellStyle name="Hiperlink Visitado" xfId="78" builtinId="9" hidden="1"/>
    <cellStyle name="Hiperlink Visitado" xfId="79" builtinId="9" hidden="1"/>
    <cellStyle name="Hiperlink Visitado" xfId="80" builtinId="9" hidden="1"/>
    <cellStyle name="Hiperlink Visitado" xfId="81" builtinId="9" hidden="1"/>
    <cellStyle name="Hiperlink Visitado" xfId="82" builtinId="9" hidden="1"/>
    <cellStyle name="Hiperlink Visitado" xfId="83" builtinId="9" hidden="1"/>
    <cellStyle name="Hiperlink Visitado" xfId="84" builtinId="9" hidden="1"/>
    <cellStyle name="Hiperlink Visitado" xfId="85" builtinId="9" hidden="1"/>
    <cellStyle name="Hiperlink Visitado" xfId="86" builtinId="9" hidden="1"/>
    <cellStyle name="Hiperlink Visitado" xfId="87" builtinId="9" hidden="1"/>
    <cellStyle name="Hiperlink Visitado" xfId="88" builtinId="9" hidden="1"/>
    <cellStyle name="Hiperlink Visitado" xfId="89" builtinId="9" hidden="1"/>
    <cellStyle name="Hiperlink Visitado" xfId="90" builtinId="9" hidden="1"/>
    <cellStyle name="Hiperlink Visitado" xfId="91" builtinId="9" hidden="1"/>
    <cellStyle name="Hiperlink Visitado" xfId="92" builtinId="9" hidden="1"/>
    <cellStyle name="Hiperlink Visitado" xfId="93" builtinId="9" hidden="1"/>
    <cellStyle name="Hiperlink Visitado" xfId="94" builtinId="9" hidden="1"/>
    <cellStyle name="Hiperlink Visitado" xfId="95" builtinId="9" hidden="1"/>
    <cellStyle name="Hiperlink Visitado" xfId="96" builtinId="9" hidden="1"/>
    <cellStyle name="Hiperlink Visitado" xfId="97" builtinId="9" hidden="1"/>
    <cellStyle name="Hiperlink Visitado" xfId="98" builtinId="9" hidden="1"/>
    <cellStyle name="Hiperlink Visitado" xfId="99" builtinId="9" hidden="1"/>
    <cellStyle name="Hiperlink Visitado" xfId="100" builtinId="9" hidden="1"/>
    <cellStyle name="Hiperlink Visitado" xfId="101" builtinId="9" hidden="1"/>
    <cellStyle name="Hiperlink Visitado" xfId="102" builtinId="9" hidden="1"/>
    <cellStyle name="Hiperlink Visitado" xfId="103" builtinId="9" hidden="1"/>
    <cellStyle name="Hiperlink Visitado" xfId="104" builtinId="9" hidden="1"/>
    <cellStyle name="Hiperlink Visitado" xfId="105" builtinId="9" hidden="1"/>
    <cellStyle name="Hiperlink Visitado" xfId="106" builtinId="9" hidden="1"/>
    <cellStyle name="Hiperlink Visitado" xfId="107" builtinId="9" hidden="1"/>
    <cellStyle name="Normal" xfId="0" builtinId="0"/>
    <cellStyle name="Normal 2" xfId="2" xr:uid="{00000000-0005-0000-0000-00006B000000}"/>
  </cellStyles>
  <dxfs count="945">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bgColor rgb="FFFF9900"/>
        </patternFill>
      </fill>
    </dxf>
    <dxf>
      <fill>
        <patternFill patternType="solid">
          <fgColor indexed="64"/>
          <bgColor theme="4" tint="0.79998168889431442"/>
        </patternFill>
      </fill>
    </dxf>
    <dxf>
      <fill>
        <patternFill>
          <bgColor rgb="FFDDE8C6"/>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patternType="solid">
          <fgColor indexed="64"/>
          <bgColor rgb="FFE4E300"/>
        </patternFill>
      </fill>
    </dxf>
    <dxf>
      <fill>
        <patternFill patternType="solid">
          <fgColor indexed="64"/>
          <bgColor theme="0" tint="-4.9989318521683403E-2"/>
        </patternFill>
      </fill>
    </dxf>
    <dxf>
      <fill>
        <patternFill>
          <bgColor rgb="FFFF0000"/>
        </patternFill>
      </fill>
    </dxf>
    <dxf>
      <fill>
        <patternFill patternType="solid">
          <fgColor indexed="64"/>
          <bgColor theme="6" tint="0.59999389629810485"/>
        </patternFill>
      </fill>
    </dxf>
    <dxf>
      <fill>
        <patternFill>
          <bgColor theme="2" tint="-0.24994659260841701"/>
        </patternFill>
      </fill>
    </dxf>
    <dxf>
      <fill>
        <patternFill>
          <bgColor rgb="FF4685D2"/>
        </patternFill>
      </fill>
    </dxf>
    <dxf>
      <fill>
        <patternFill>
          <bgColor theme="6" tint="0.3999450666829432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DCC97A"/>
        </patternFill>
      </fill>
    </dxf>
    <dxf>
      <fill>
        <patternFill>
          <bgColor rgb="FFEEB400"/>
        </patternFill>
      </fill>
    </dxf>
    <dxf>
      <fill>
        <patternFill>
          <bgColor rgb="FFFF9900"/>
        </patternFill>
      </fill>
    </dxf>
    <dxf>
      <fill>
        <patternFill>
          <bgColor rgb="FFEEB4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EEB400"/>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ont>
        <color auto="1"/>
      </font>
      <fill>
        <patternFill>
          <bgColor rgb="FFFF6D9E"/>
        </patternFill>
      </fill>
    </dxf>
    <dxf>
      <fill>
        <patternFill>
          <bgColor rgb="FFF2DBDA"/>
        </patternFill>
      </fill>
    </dxf>
    <dxf>
      <fill>
        <patternFill>
          <bgColor theme="8"/>
        </patternFill>
      </fill>
    </dxf>
    <dxf>
      <fill>
        <patternFill>
          <bgColor theme="8" tint="0.39994506668294322"/>
        </patternFill>
      </fill>
    </dxf>
    <dxf>
      <fill>
        <patternFill>
          <bgColor rgb="FFBBBB59"/>
        </patternFill>
      </fill>
    </dxf>
    <dxf>
      <fill>
        <patternFill>
          <bgColor rgb="FFEAEB74"/>
        </patternFill>
      </fill>
    </dxf>
    <dxf>
      <fill>
        <patternFill>
          <bgColor rgb="FFFFD44B"/>
        </patternFill>
      </fill>
    </dxf>
    <dxf>
      <font>
        <color auto="1"/>
      </font>
      <fill>
        <patternFill>
          <bgColor rgb="FFFFC7CE"/>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bgColor theme="8"/>
        </patternFill>
      </fill>
    </dxf>
    <dxf>
      <fill>
        <patternFill>
          <bgColor rgb="FFFF9900"/>
        </patternFill>
      </fill>
    </dxf>
    <dxf>
      <fill>
        <patternFill patternType="solid">
          <fgColor indexed="64"/>
          <bgColor rgb="FFE4E300"/>
        </patternFill>
      </fill>
    </dxf>
    <dxf>
      <fill>
        <patternFill patternType="solid">
          <fgColor indexed="64"/>
          <bgColor rgb="FF9E004F"/>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bgColor theme="7" tint="0.39994506668294322"/>
        </patternFill>
      </fill>
    </dxf>
    <dxf>
      <fill>
        <patternFill>
          <bgColor rgb="FFE1AAA9"/>
        </patternFill>
      </fill>
    </dxf>
    <dxf>
      <fill>
        <patternFill>
          <bgColor rgb="FFBBBB59"/>
        </patternFill>
      </fill>
    </dxf>
    <dxf>
      <fill>
        <patternFill patternType="solid">
          <fgColor indexed="64"/>
          <bgColor rgb="FFDCC97A"/>
        </patternFill>
      </fill>
    </dxf>
    <dxf>
      <fill>
        <patternFill>
          <bgColor theme="6" tint="0.39994506668294322"/>
        </patternFill>
      </fill>
    </dxf>
    <dxf>
      <font>
        <color auto="1"/>
      </font>
      <fill>
        <patternFill>
          <bgColor rgb="FFFF6D9E"/>
        </patternFill>
      </fill>
    </dxf>
    <dxf>
      <fill>
        <patternFill>
          <bgColor theme="2" tint="-0.24994659260841701"/>
        </patternFill>
      </fill>
    </dxf>
    <dxf>
      <fill>
        <patternFill>
          <bgColor rgb="FFFF0000"/>
        </patternFill>
      </fill>
    </dxf>
    <dxf>
      <fill>
        <patternFill>
          <bgColor rgb="FFFF99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ont>
        <color auto="1"/>
      </font>
      <fill>
        <patternFill>
          <bgColor rgb="FFFF6D9E"/>
        </patternFill>
      </fill>
    </dxf>
    <dxf>
      <fill>
        <patternFill>
          <bgColor theme="8"/>
        </patternFill>
      </fill>
    </dxf>
    <dxf>
      <fill>
        <patternFill>
          <bgColor theme="2" tint="-0.24994659260841701"/>
        </patternFill>
      </fill>
    </dxf>
    <dxf>
      <fill>
        <patternFill>
          <bgColor theme="6" tint="0.39994506668294322"/>
        </patternFill>
      </fill>
    </dxf>
    <dxf>
      <fill>
        <patternFill patternType="solid">
          <fgColor indexed="64"/>
          <bgColor rgb="FF9E004F"/>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rgb="FFE1AAA9"/>
        </patternFill>
      </fill>
    </dxf>
    <dxf>
      <fill>
        <patternFill patternType="solid">
          <fgColor indexed="64"/>
          <bgColor rgb="FFE4E300"/>
        </patternFill>
      </fill>
    </dxf>
    <dxf>
      <fill>
        <patternFill>
          <bgColor rgb="FFFF0000"/>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rgb="FFFF99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rgb="FFE4E300"/>
        </patternFill>
      </fill>
    </dxf>
    <dxf>
      <fill>
        <patternFill>
          <bgColor theme="2" tint="-0.24994659260841701"/>
        </patternFill>
      </fill>
    </dxf>
    <dxf>
      <fill>
        <patternFill>
          <bgColor rgb="FFEEB400"/>
        </patternFill>
      </fill>
    </dxf>
    <dxf>
      <fill>
        <patternFill>
          <bgColor rgb="FFFF9900"/>
        </patternFill>
      </fill>
    </dxf>
    <dxf>
      <fill>
        <patternFill>
          <bgColor rgb="FFBBBB59"/>
        </patternFill>
      </fill>
    </dxf>
    <dxf>
      <fill>
        <patternFill patternType="solid">
          <fgColor indexed="64"/>
          <bgColor theme="0" tint="-4.9989318521683403E-2"/>
        </patternFill>
      </fill>
    </dxf>
    <dxf>
      <font>
        <color auto="1"/>
      </font>
      <fill>
        <patternFill>
          <bgColor rgb="FFFF6D9E"/>
        </patternFill>
      </fill>
    </dxf>
    <dxf>
      <fill>
        <patternFill>
          <bgColor rgb="FFE1AAA9"/>
        </patternFill>
      </fill>
    </dxf>
    <dxf>
      <fill>
        <patternFill>
          <bgColor theme="9" tint="0.39994506668294322"/>
        </patternFill>
      </fill>
    </dxf>
    <dxf>
      <fill>
        <patternFill>
          <bgColor rgb="FFEEB400"/>
        </patternFill>
      </fill>
    </dxf>
    <dxf>
      <fill>
        <patternFill>
          <bgColor theme="7" tint="0.39994506668294322"/>
        </patternFill>
      </fill>
    </dxf>
    <dxf>
      <fill>
        <patternFill>
          <bgColor theme="8"/>
        </patternFill>
      </fill>
    </dxf>
    <dxf>
      <fill>
        <patternFill>
          <bgColor rgb="FFFF9900"/>
        </patternFill>
      </fill>
    </dxf>
    <dxf>
      <fill>
        <patternFill>
          <bgColor rgb="FFEEB400"/>
        </patternFill>
      </fill>
    </dxf>
    <dxf>
      <fill>
        <patternFill>
          <bgColor rgb="FFFF9900"/>
        </patternFill>
      </fill>
    </dxf>
    <dxf>
      <fill>
        <patternFill patternType="solid">
          <fgColor indexed="64"/>
          <bgColor rgb="FFE4E300"/>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rgb="FFE1AAA9"/>
        </patternFill>
      </fill>
    </dxf>
    <dxf>
      <font>
        <color auto="1"/>
      </font>
      <fill>
        <patternFill>
          <bgColor rgb="FFFF6D9E"/>
        </patternFill>
      </fill>
    </dxf>
    <dxf>
      <fill>
        <patternFill>
          <bgColor theme="8"/>
        </patternFill>
      </fill>
    </dxf>
    <dxf>
      <fill>
        <patternFill>
          <bgColor theme="2" tint="-0.24994659260841701"/>
        </patternFill>
      </fill>
    </dxf>
    <dxf>
      <fill>
        <patternFill>
          <bgColor theme="6" tint="0.39994506668294322"/>
        </patternFill>
      </fill>
    </dxf>
    <dxf>
      <fill>
        <patternFill>
          <bgColor theme="7" tint="0.39994506668294322"/>
        </patternFill>
      </fill>
    </dxf>
    <dxf>
      <fill>
        <patternFill patternType="solid">
          <fgColor indexed="64"/>
          <bgColor rgb="FFDCC97A"/>
        </patternFill>
      </fill>
    </dxf>
    <dxf>
      <fill>
        <patternFill>
          <bgColor rgb="FFBBBB59"/>
        </patternFill>
      </fill>
    </dxf>
    <dxf>
      <font>
        <color auto="1"/>
      </font>
      <fill>
        <patternFill patternType="solid">
          <fgColor indexed="64"/>
          <bgColor theme="0" tint="-0.249977111117893"/>
        </patternFill>
      </fill>
    </dxf>
    <dxf>
      <fill>
        <patternFill>
          <bgColor rgb="FFEEB400"/>
        </patternFill>
      </fill>
    </dxf>
    <dxf>
      <fill>
        <patternFill patternType="solid">
          <fgColor indexed="64"/>
          <bgColor rgb="FF9E004F"/>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patternType="solid">
          <fgColor indexed="64"/>
          <bgColor rgb="FFE4E300"/>
        </patternFill>
      </fill>
    </dxf>
    <dxf>
      <fill>
        <patternFill>
          <bgColor rgb="FFFF9900"/>
        </patternFill>
      </fill>
    </dxf>
    <dxf>
      <font>
        <color auto="1"/>
      </font>
      <fill>
        <patternFill patternType="solid">
          <fgColor indexed="64"/>
          <bgColor theme="0" tint="-0.249977111117893"/>
        </patternFill>
      </fill>
    </dxf>
    <dxf>
      <fill>
        <patternFill>
          <bgColor rgb="FF4685D2"/>
        </patternFill>
      </fill>
    </dxf>
    <dxf>
      <fill>
        <patternFill>
          <bgColor rgb="FFBBBB59"/>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theme="8"/>
        </patternFill>
      </fill>
    </dxf>
    <dxf>
      <font>
        <color auto="1"/>
      </font>
      <fill>
        <patternFill>
          <bgColor rgb="FFFF6D9E"/>
        </patternFill>
      </fill>
    </dxf>
    <dxf>
      <fill>
        <patternFill>
          <bgColor rgb="FFE1AAA9"/>
        </patternFill>
      </fill>
    </dxf>
    <dxf>
      <fill>
        <patternFill>
          <bgColor theme="7" tint="0.39994506668294322"/>
        </patternFill>
      </fill>
    </dxf>
    <dxf>
      <fill>
        <patternFill>
          <bgColor rgb="FFFF0000"/>
        </patternFill>
      </fill>
    </dxf>
    <dxf>
      <fill>
        <patternFill patternType="solid">
          <fgColor indexed="64"/>
          <bgColor rgb="FFE4E300"/>
        </patternFill>
      </fill>
    </dxf>
    <dxf>
      <fill>
        <patternFill patternType="solid">
          <fgColor indexed="64"/>
          <bgColor rgb="FF9E004F"/>
        </patternFill>
      </fill>
    </dxf>
    <dxf>
      <fill>
        <patternFill patternType="solid">
          <fgColor indexed="64"/>
          <bgColor rgb="FFDCC97A"/>
        </patternFill>
      </fill>
    </dxf>
    <dxf>
      <fill>
        <patternFill>
          <bgColor rgb="FFFF9900"/>
        </patternFill>
      </fill>
    </dxf>
    <dxf>
      <fill>
        <patternFill>
          <bgColor theme="6" tint="0.39994506668294322"/>
        </patternFill>
      </fill>
    </dxf>
    <dxf>
      <fill>
        <patternFill>
          <bgColor rgb="FFBBBB59"/>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theme="2" tint="-0.24994659260841701"/>
        </patternFill>
      </fill>
    </dxf>
    <dxf>
      <fill>
        <patternFill>
          <bgColor theme="8"/>
        </patternFill>
      </fill>
    </dxf>
    <dxf>
      <font>
        <color auto="1"/>
      </font>
      <fill>
        <patternFill>
          <bgColor rgb="FFFF6D9E"/>
        </patternFill>
      </fill>
    </dxf>
    <dxf>
      <fill>
        <patternFill>
          <bgColor rgb="FFE1AAA9"/>
        </patternFill>
      </fill>
    </dxf>
    <dxf>
      <fill>
        <patternFill>
          <bgColor theme="7" tint="0.39994506668294322"/>
        </patternFill>
      </fill>
    </dxf>
    <dxf>
      <fill>
        <patternFill>
          <bgColor rgb="FFFF0000"/>
        </patternFill>
      </fill>
    </dxf>
    <dxf>
      <font>
        <color auto="1"/>
      </font>
      <fill>
        <patternFill patternType="solid">
          <fgColor indexed="64"/>
          <bgColor theme="0" tint="-0.249977111117893"/>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2" tint="-0.24994659260841701"/>
        </patternFill>
      </fill>
    </dxf>
    <dxf>
      <fill>
        <patternFill patternType="solid">
          <fgColor indexed="64"/>
          <bgColor theme="0" tint="-4.9989318521683403E-2"/>
        </patternFill>
      </fill>
    </dxf>
    <dxf>
      <fill>
        <patternFill>
          <bgColor rgb="FFEEB400"/>
        </patternFill>
      </fill>
    </dxf>
    <dxf>
      <fill>
        <patternFill>
          <bgColor theme="9" tint="0.39994506668294322"/>
        </patternFill>
      </fill>
    </dxf>
    <dxf>
      <fill>
        <patternFill>
          <bgColor theme="6" tint="0.39994506668294322"/>
        </patternFill>
      </fill>
    </dxf>
    <dxf>
      <fill>
        <patternFill>
          <bgColor rgb="FFFF9900"/>
        </patternFill>
      </fill>
    </dxf>
    <dxf>
      <fill>
        <patternFill>
          <bgColor rgb="FFEEB400"/>
        </patternFill>
      </fill>
    </dxf>
    <dxf>
      <fill>
        <patternFill>
          <bgColor theme="8"/>
        </patternFill>
      </fill>
    </dxf>
    <dxf>
      <fill>
        <patternFill>
          <bgColor rgb="FFFF9900"/>
        </patternFill>
      </fill>
    </dxf>
    <dxf>
      <fill>
        <patternFill patternType="solid">
          <fgColor indexed="64"/>
          <bgColor rgb="FFE4E300"/>
        </patternFill>
      </fill>
    </dxf>
    <dxf>
      <fill>
        <patternFill>
          <bgColor rgb="FFBBBB59"/>
        </patternFill>
      </fill>
    </dxf>
    <dxf>
      <font>
        <color auto="1"/>
      </font>
      <fill>
        <patternFill patternType="solid">
          <fgColor indexed="64"/>
          <bgColor theme="0" tint="-0.249977111117893"/>
        </patternFill>
      </fill>
    </dxf>
    <dxf>
      <fill>
        <patternFill>
          <bgColor rgb="FF4685D2"/>
        </patternFill>
      </fill>
    </dxf>
    <dxf>
      <fill>
        <patternFill patternType="solid">
          <fgColor indexed="64"/>
          <bgColor rgb="FFE4E300"/>
        </patternFill>
      </fill>
    </dxf>
    <dxf>
      <fill>
        <patternFill>
          <bgColor rgb="FFFF99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8"/>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E1AAA9"/>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bgColor theme="7" tint="0.39994506668294322"/>
        </patternFill>
      </fill>
    </dxf>
    <dxf>
      <fill>
        <patternFill>
          <bgColor rgb="FFFF0000"/>
        </patternFill>
      </fill>
    </dxf>
    <dxf>
      <fill>
        <patternFill patternType="solid">
          <fgColor indexed="64"/>
          <bgColor theme="6" tint="0.59999389629810485"/>
        </patternFill>
      </fill>
    </dxf>
    <dxf>
      <font>
        <color auto="1"/>
      </font>
      <fill>
        <patternFill>
          <bgColor rgb="FFFF6D9E"/>
        </patternFill>
      </fill>
    </dxf>
    <dxf>
      <fill>
        <patternFill>
          <bgColor rgb="FF4685D2"/>
        </patternFill>
      </fill>
    </dxf>
    <dxf>
      <fill>
        <patternFill>
          <bgColor theme="9" tint="0.39994506668294322"/>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patternType="solid">
          <fgColor indexed="64"/>
          <bgColor theme="4" tint="0.59999389629810485"/>
        </patternFill>
      </fill>
    </dxf>
    <dxf>
      <fill>
        <patternFill>
          <bgColor rgb="FFEEB400"/>
        </patternFill>
      </fill>
    </dxf>
    <dxf>
      <fill>
        <patternFill>
          <bgColor rgb="FFFF9900"/>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theme="8"/>
        </patternFill>
      </fill>
    </dxf>
    <dxf>
      <fill>
        <patternFill>
          <bgColor theme="6" tint="0.39994506668294322"/>
        </patternFill>
      </fill>
    </dxf>
    <dxf>
      <fill>
        <patternFill>
          <bgColor theme="2" tint="-0.24994659260841701"/>
        </patternFill>
      </fill>
    </dxf>
    <dxf>
      <fill>
        <patternFill>
          <bgColor theme="8"/>
        </patternFill>
      </fill>
    </dxf>
    <dxf>
      <fill>
        <patternFill>
          <bgColor rgb="FF4685D2"/>
        </patternFill>
      </fill>
    </dxf>
    <dxf>
      <font>
        <color auto="1"/>
      </font>
      <fill>
        <patternFill>
          <bgColor rgb="FFFF6D9E"/>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rgb="FFFF0000"/>
        </patternFill>
      </fill>
    </dxf>
    <dxf>
      <fill>
        <patternFill patternType="solid">
          <fgColor indexed="64"/>
          <bgColor rgb="FFDCC97A"/>
        </patternFill>
      </fill>
    </dxf>
    <dxf>
      <fill>
        <patternFill patternType="solid">
          <fgColor indexed="64"/>
          <bgColor rgb="FF9E004F"/>
        </patternFill>
      </fill>
    </dxf>
    <dxf>
      <fill>
        <patternFill>
          <bgColor rgb="FFFF9900"/>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theme="4" tint="0.59999389629810485"/>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8"/>
        </patternFill>
      </fill>
    </dxf>
    <dxf>
      <font>
        <color auto="1"/>
      </font>
      <fill>
        <patternFill>
          <bgColor rgb="FFFF6D9E"/>
        </patternFill>
      </fill>
    </dxf>
    <dxf>
      <fill>
        <patternFill>
          <bgColor rgb="FFE1AAA9"/>
        </patternFill>
      </fill>
    </dxf>
    <dxf>
      <fill>
        <patternFill>
          <bgColor theme="7"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rgb="FFFF9900"/>
        </patternFill>
      </fill>
    </dxf>
    <dxf>
      <fill>
        <patternFill>
          <bgColor rgb="FFFF0000"/>
        </patternFill>
      </fill>
    </dxf>
    <dxf>
      <fill>
        <patternFill>
          <bgColor theme="2" tint="-0.24994659260841701"/>
        </patternFill>
      </fill>
    </dxf>
    <dxf>
      <fill>
        <patternFill patternType="solid">
          <fgColor indexed="64"/>
          <bgColor rgb="FFE4E300"/>
        </patternFill>
      </fill>
    </dxf>
    <dxf>
      <fill>
        <patternFill>
          <bgColor theme="7" tint="0.39994506668294322"/>
        </patternFill>
      </fill>
    </dxf>
    <dxf>
      <fill>
        <patternFill>
          <bgColor theme="2" tint="-0.24994659260841701"/>
        </patternFill>
      </fill>
    </dxf>
    <dxf>
      <fill>
        <patternFill>
          <bgColor theme="8"/>
        </patternFill>
      </fill>
    </dxf>
    <dxf>
      <fill>
        <patternFill>
          <bgColor rgb="FFEEB400"/>
        </patternFill>
      </fill>
    </dxf>
    <dxf>
      <fill>
        <patternFill>
          <bgColor rgb="FFFF9900"/>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rgb="FFE4E300"/>
        </patternFill>
      </fill>
    </dxf>
    <dxf>
      <font>
        <color auto="1"/>
      </font>
      <fill>
        <patternFill>
          <bgColor rgb="FFFF6D9E"/>
        </patternFill>
      </fill>
    </dxf>
    <dxf>
      <fill>
        <patternFill>
          <bgColor rgb="FFBBBB59"/>
        </patternFill>
      </fill>
    </dxf>
    <dxf>
      <fill>
        <patternFill patternType="solid">
          <fgColor indexed="64"/>
          <bgColor rgb="FF9E004F"/>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patternType="solid">
          <fgColor indexed="64"/>
          <bgColor rgb="FFDCC97A"/>
        </patternFill>
      </fill>
    </dxf>
    <dxf>
      <fill>
        <patternFill>
          <bgColor theme="6" tint="0.39994506668294322"/>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8"/>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FFD44B"/>
        </patternFill>
      </fill>
    </dxf>
    <dxf>
      <fill>
        <patternFill>
          <bgColor rgb="FFFFBB57"/>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theme="8"/>
        </patternFill>
      </fill>
    </dxf>
    <dxf>
      <font>
        <color auto="1"/>
      </font>
      <fill>
        <patternFill>
          <bgColor rgb="FFFF6D9E"/>
        </patternFill>
      </fill>
    </dxf>
    <dxf>
      <fill>
        <patternFill>
          <bgColor rgb="FFE1AAA9"/>
        </patternFill>
      </fill>
    </dxf>
    <dxf>
      <fill>
        <patternFill>
          <bgColor theme="7" tint="0.39994506668294322"/>
        </patternFill>
      </fill>
    </dxf>
    <dxf>
      <fill>
        <patternFill>
          <bgColor rgb="FFFF00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rgb="FFFFBB57"/>
        </patternFill>
      </fill>
    </dxf>
    <dxf>
      <fill>
        <patternFill>
          <bgColor rgb="FFFFD44B"/>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BBBB59"/>
        </patternFill>
      </fill>
    </dxf>
    <dxf>
      <fill>
        <patternFill patternType="solid">
          <fgColor indexed="64"/>
          <bgColor rgb="FF9E004F"/>
        </patternFill>
      </fill>
    </dxf>
    <dxf>
      <font>
        <color auto="1"/>
      </font>
      <fill>
        <patternFill>
          <bgColor rgb="FFFF6D9E"/>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FF0000"/>
        </patternFill>
      </fill>
    </dxf>
    <dxf>
      <fill>
        <patternFill>
          <bgColor theme="7" tint="0.39994506668294322"/>
        </patternFill>
      </fill>
    </dxf>
    <dxf>
      <fill>
        <patternFill>
          <bgColor rgb="FFE1AAA9"/>
        </patternFill>
      </fill>
    </dxf>
    <dxf>
      <fill>
        <patternFill>
          <bgColor theme="8"/>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FFD44B"/>
        </patternFill>
      </fill>
    </dxf>
    <dxf>
      <fill>
        <patternFill>
          <bgColor rgb="FFFFD44B"/>
        </patternFill>
      </fill>
    </dxf>
    <dxf>
      <fill>
        <patternFill>
          <bgColor rgb="FFE1AAA9"/>
        </patternFill>
      </fill>
    </dxf>
    <dxf>
      <fill>
        <patternFill>
          <bgColor theme="7" tint="0.39994506668294322"/>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theme="6" tint="0.39994506668294322"/>
        </patternFill>
      </fill>
    </dxf>
    <dxf>
      <fill>
        <patternFill>
          <bgColor rgb="FFEEB400"/>
        </patternFill>
      </fill>
    </dxf>
    <dxf>
      <fill>
        <patternFill patternType="solid">
          <fgColor indexed="64"/>
          <bgColor rgb="FF9E004F"/>
        </patternFill>
      </fill>
    </dxf>
    <dxf>
      <fill>
        <patternFill>
          <bgColor rgb="FFBBBB59"/>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theme="9" tint="0.39994506668294322"/>
        </patternFill>
      </fill>
    </dxf>
    <dxf>
      <fill>
        <patternFill patternType="solid">
          <fgColor indexed="64"/>
          <bgColor rgb="FFDCC97A"/>
        </patternFill>
      </fill>
    </dxf>
    <dxf>
      <fill>
        <patternFill>
          <bgColor theme="2" tint="-0.24994659260841701"/>
        </patternFill>
      </fill>
    </dxf>
    <dxf>
      <fill>
        <patternFill>
          <bgColor theme="8"/>
        </patternFill>
      </fill>
    </dxf>
    <dxf>
      <font>
        <color auto="1"/>
      </font>
      <fill>
        <patternFill>
          <bgColor rgb="FFFF6D9E"/>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FF9900"/>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patternType="solid">
          <fgColor indexed="64"/>
          <bgColor rgb="FFBA005D"/>
        </patternFill>
      </fill>
    </dxf>
    <dxf>
      <font>
        <color auto="1"/>
      </font>
      <fill>
        <patternFill>
          <bgColor rgb="FFFFC7CE"/>
        </patternFill>
      </fill>
    </dxf>
    <dxf>
      <fill>
        <patternFill>
          <bgColor rgb="FFEAEB74"/>
        </patternFill>
      </fill>
    </dxf>
    <dxf>
      <fill>
        <patternFill>
          <bgColor rgb="FFE3E0CF"/>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FFBB57"/>
        </patternFill>
      </fill>
    </dxf>
    <dxf>
      <fill>
        <patternFill>
          <bgColor theme="2" tint="-0.24994659260841701"/>
        </patternFill>
      </fill>
    </dxf>
    <dxf>
      <fill>
        <patternFill>
          <bgColor rgb="FFFF6969"/>
        </patternFill>
      </fill>
    </dxf>
    <dxf>
      <fill>
        <patternFill patternType="solid">
          <fgColor indexed="64"/>
          <bgColor rgb="FF9E004F"/>
        </patternFill>
      </fill>
    </dxf>
    <dxf>
      <fill>
        <patternFill>
          <bgColor rgb="FFEEB400"/>
        </patternFill>
      </fill>
    </dxf>
    <dxf>
      <fill>
        <patternFill>
          <bgColor rgb="FFFFD44B"/>
        </patternFill>
      </fill>
    </dxf>
    <dxf>
      <fill>
        <patternFill>
          <bgColor rgb="FFEEB400"/>
        </patternFill>
      </fill>
    </dxf>
    <dxf>
      <font>
        <color auto="1"/>
      </font>
      <fill>
        <patternFill patternType="solid">
          <fgColor indexed="64"/>
          <bgColor theme="0" tint="-0.14999847407452621"/>
        </patternFill>
      </fill>
    </dxf>
    <dxf>
      <fill>
        <patternFill>
          <bgColor rgb="FFFF9900"/>
        </patternFill>
      </fill>
    </dxf>
    <dxf>
      <fill>
        <patternFill>
          <bgColor rgb="FFF2DBDA"/>
        </patternFill>
      </fill>
    </dxf>
    <dxf>
      <fill>
        <patternFill>
          <bgColor rgb="FFE1AAA9"/>
        </patternFill>
      </fill>
    </dxf>
    <dxf>
      <font>
        <color auto="1"/>
      </font>
      <fill>
        <patternFill patternType="solid">
          <fgColor indexed="64"/>
          <bgColor theme="0" tint="-0.249977111117893"/>
        </patternFill>
      </fill>
    </dxf>
    <dxf>
      <fill>
        <patternFill>
          <bgColor theme="7" tint="0.59996337778862885"/>
        </patternFill>
      </fill>
    </dxf>
    <dxf>
      <fill>
        <patternFill>
          <bgColor theme="7" tint="0.39994506668294322"/>
        </patternFill>
      </fill>
    </dxf>
    <dxf>
      <font>
        <color auto="1"/>
      </font>
      <fill>
        <patternFill>
          <bgColor rgb="FFFF6D9E"/>
        </patternFill>
      </fill>
    </dxf>
    <dxf>
      <fill>
        <patternFill>
          <bgColor theme="8"/>
        </patternFill>
      </fill>
    </dxf>
    <dxf>
      <fill>
        <patternFill>
          <bgColor theme="8" tint="0.39994506668294322"/>
        </patternFill>
      </fill>
    </dxf>
    <dxf>
      <fill>
        <patternFill>
          <bgColor rgb="FFBBBB59"/>
        </patternFill>
      </fill>
    </dxf>
    <dxf>
      <fill>
        <patternFill patternType="solid">
          <fgColor indexed="64"/>
          <bgColor rgb="FFFBFB00"/>
        </patternFill>
      </fill>
    </dxf>
    <dxf>
      <fill>
        <patternFill>
          <bgColor rgb="FFFFBB57"/>
        </patternFill>
      </fill>
    </dxf>
    <dxf>
      <fill>
        <patternFill>
          <bgColor rgb="FFFFD44B"/>
        </patternFill>
      </fill>
    </dxf>
    <dxf>
      <fill>
        <patternFill>
          <bgColor rgb="FFEEB400"/>
        </patternFill>
      </fill>
    </dxf>
    <dxf>
      <fill>
        <patternFill patternType="solid">
          <fgColor indexed="64"/>
          <bgColor rgb="FFE4E300"/>
        </patternFill>
      </fill>
    </dxf>
    <dxf>
      <fill>
        <patternFill patternType="solid">
          <fgColor indexed="64"/>
          <bgColor rgb="FF9E004F"/>
        </patternFill>
      </fill>
    </dxf>
    <dxf>
      <fill>
        <patternFill>
          <bgColor rgb="FFBBBB59"/>
        </patternFill>
      </fill>
    </dxf>
    <dxf>
      <fill>
        <patternFill>
          <bgColor theme="6" tint="0.39994506668294322"/>
        </patternFill>
      </fill>
    </dxf>
    <dxf>
      <fill>
        <patternFill>
          <bgColor rgb="FF4685D2"/>
        </patternFill>
      </fill>
    </dxf>
    <dxf>
      <fill>
        <patternFill patternType="solid">
          <fgColor indexed="64"/>
          <bgColor rgb="FFDCC97A"/>
        </patternFill>
      </fill>
    </dxf>
    <dxf>
      <fill>
        <patternFill>
          <bgColor theme="2" tint="-0.24994659260841701"/>
        </patternFill>
      </fill>
    </dxf>
    <dxf>
      <fill>
        <patternFill>
          <bgColor theme="8"/>
        </patternFill>
      </fill>
    </dxf>
    <dxf>
      <font>
        <color auto="1"/>
      </font>
      <fill>
        <patternFill>
          <bgColor rgb="FFFF6D9E"/>
        </patternFill>
      </fill>
    </dxf>
    <dxf>
      <fill>
        <patternFill>
          <bgColor rgb="FFE1AAA9"/>
        </patternFill>
      </fill>
    </dxf>
    <dxf>
      <fill>
        <patternFill>
          <bgColor rgb="FFFFBB57"/>
        </patternFill>
      </fill>
    </dxf>
    <dxf>
      <fill>
        <patternFill>
          <bgColor theme="7" tint="0.39994506668294322"/>
        </patternFill>
      </fill>
    </dxf>
    <dxf>
      <fill>
        <patternFill>
          <bgColor rgb="FFFF0000"/>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FF9900"/>
        </patternFill>
      </fill>
    </dxf>
    <dxf>
      <font>
        <color auto="1"/>
      </font>
      <fill>
        <patternFill patternType="solid">
          <fgColor indexed="64"/>
          <bgColor theme="0" tint="-0.249977111117893"/>
        </patternFill>
      </fill>
    </dxf>
    <dxf>
      <fill>
        <patternFill>
          <bgColor rgb="FFFFBB57"/>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ill>
        <patternFill>
          <bgColor rgb="FFE1AAA9"/>
        </patternFill>
      </fill>
    </dxf>
    <dxf>
      <fill>
        <patternFill>
          <bgColor theme="8"/>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FFBB57"/>
        </patternFill>
      </fill>
    </dxf>
    <dxf>
      <font>
        <color auto="1"/>
      </font>
      <fill>
        <patternFill>
          <bgColor rgb="FFFF6D9E"/>
        </patternFill>
      </fill>
    </dxf>
    <dxf>
      <fill>
        <patternFill>
          <bgColor rgb="FFFFD44B"/>
        </patternFill>
      </fill>
    </dxf>
    <dxf>
      <fill>
        <patternFill>
          <bgColor theme="6" tint="0.39994506668294322"/>
        </patternFill>
      </fill>
    </dxf>
    <dxf>
      <fill>
        <patternFill>
          <bgColor rgb="FF4685D2"/>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FFD44B"/>
        </patternFill>
      </fill>
    </dxf>
    <dxf>
      <fill>
        <patternFill>
          <bgColor rgb="FFFF9900"/>
        </patternFill>
      </fill>
    </dxf>
    <dxf>
      <font>
        <color auto="1"/>
      </font>
      <fill>
        <patternFill>
          <bgColor rgb="FFFF6D9E"/>
        </patternFill>
      </fill>
    </dxf>
    <dxf>
      <fill>
        <patternFill>
          <bgColor rgb="FFEEB400"/>
        </patternFill>
      </fill>
    </dxf>
    <dxf>
      <fill>
        <patternFill patternType="solid">
          <fgColor indexed="64"/>
          <bgColor theme="6" tint="0.59999389629810485"/>
        </patternFill>
      </fill>
    </dxf>
    <dxf>
      <fill>
        <patternFill>
          <bgColor rgb="FFFF9900"/>
        </patternFill>
      </fill>
    </dxf>
    <dxf>
      <fill>
        <patternFill>
          <bgColor rgb="FFFF0000"/>
        </patternFill>
      </fill>
    </dxf>
    <dxf>
      <fill>
        <patternFill>
          <bgColor theme="7" tint="0.39994506668294322"/>
        </patternFill>
      </fill>
    </dxf>
    <dxf>
      <fill>
        <patternFill>
          <bgColor rgb="FFE1AAA9"/>
        </patternFill>
      </fill>
    </dxf>
    <dxf>
      <fill>
        <patternFill>
          <bgColor theme="8"/>
        </patternFill>
      </fill>
    </dxf>
    <dxf>
      <fill>
        <patternFill>
          <bgColor theme="2" tint="-0.24994659260841701"/>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FFBB57"/>
        </patternFill>
      </fill>
    </dxf>
    <dxf>
      <fill>
        <patternFill patternType="solid">
          <fgColor indexed="64"/>
          <bgColor theme="4" tint="0.59999389629810485"/>
        </patternFill>
      </fill>
    </dxf>
    <dxf>
      <fill>
        <patternFill>
          <bgColor theme="9" tint="0.39994506668294322"/>
        </patternFill>
      </fill>
    </dxf>
    <dxf>
      <fill>
        <patternFill>
          <bgColor theme="7"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E4E300"/>
        </patternFill>
      </fill>
    </dxf>
    <dxf>
      <fill>
        <patternFill>
          <bgColor theme="6" tint="0.39994506668294322"/>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6969"/>
        </patternFill>
      </fill>
    </dxf>
    <dxf>
      <font>
        <color auto="1"/>
      </font>
      <fill>
        <patternFill>
          <bgColor rgb="FFFFC7CE"/>
        </patternFill>
      </fill>
    </dxf>
    <dxf>
      <fill>
        <patternFill>
          <bgColor rgb="FFFFD44B"/>
        </patternFill>
      </fill>
    </dxf>
    <dxf>
      <fill>
        <patternFill>
          <bgColor theme="8" tint="0.39994506668294322"/>
        </patternFill>
      </fill>
    </dxf>
    <dxf>
      <fill>
        <patternFill patternType="solid">
          <fgColor indexed="64"/>
          <bgColor theme="6" tint="0.79998168889431442"/>
        </patternFill>
      </fill>
    </dxf>
    <dxf>
      <font>
        <color auto="1"/>
      </font>
      <fill>
        <patternFill>
          <bgColor rgb="FFFFC7CE"/>
        </patternFill>
      </fill>
    </dxf>
    <dxf>
      <fill>
        <patternFill>
          <bgColor rgb="FFFF6969"/>
        </patternFill>
      </fill>
    </dxf>
    <dxf>
      <fill>
        <patternFill>
          <bgColor rgb="FFF2DBDA"/>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rgb="FFF2DBDA"/>
        </patternFill>
      </fill>
    </dxf>
    <dxf>
      <fill>
        <patternFill>
          <bgColor rgb="FFFF6969"/>
        </patternFill>
      </fill>
    </dxf>
    <dxf>
      <font>
        <color auto="1"/>
      </font>
      <fill>
        <patternFill>
          <bgColor rgb="FFFFC7CE"/>
        </patternFill>
      </fill>
    </dxf>
    <dxf>
      <fill>
        <patternFill patternType="solid">
          <fgColor indexed="64"/>
          <bgColor theme="6" tint="0.79998168889431442"/>
        </patternFill>
      </fill>
    </dxf>
    <dxf>
      <fill>
        <patternFill>
          <bgColor rgb="FFFFD44B"/>
        </patternFill>
      </fill>
    </dxf>
    <dxf>
      <fill>
        <patternFill>
          <bgColor theme="8" tint="0.39994506668294322"/>
        </patternFill>
      </fill>
    </dxf>
    <dxf>
      <fill>
        <patternFill>
          <bgColor theme="7" tint="0.59996337778862885"/>
        </patternFill>
      </fill>
    </dxf>
    <dxf>
      <fill>
        <patternFill>
          <bgColor rgb="FFFF6969"/>
        </patternFill>
      </fill>
    </dxf>
    <dxf>
      <fill>
        <patternFill patternType="solid">
          <fgColor indexed="64"/>
          <bgColor theme="6" tint="0.79998168889431442"/>
        </patternFill>
      </fill>
    </dxf>
    <dxf>
      <font>
        <color auto="1"/>
      </font>
      <fill>
        <patternFill>
          <bgColor rgb="FFFFC7CE"/>
        </patternFill>
      </fill>
    </dxf>
    <dxf>
      <fill>
        <patternFill>
          <bgColor rgb="FFF2DBDA"/>
        </patternFill>
      </fill>
    </dxf>
    <dxf>
      <fill>
        <patternFill>
          <bgColor rgb="FFFFD44B"/>
        </patternFill>
      </fill>
    </dxf>
    <dxf>
      <fill>
        <patternFill>
          <bgColor theme="8" tint="0.39994506668294322"/>
        </patternFill>
      </fill>
    </dxf>
    <dxf>
      <fill>
        <patternFill>
          <bgColor theme="7" tint="0.59996337778862885"/>
        </patternFill>
      </fill>
    </dxf>
    <dxf>
      <fill>
        <patternFill>
          <bgColor rgb="FFF2DBDA"/>
        </patternFill>
      </fill>
    </dxf>
    <dxf>
      <fill>
        <patternFill>
          <bgColor rgb="FFFF6969"/>
        </patternFill>
      </fill>
    </dxf>
    <dxf>
      <font>
        <color auto="1"/>
      </font>
      <fill>
        <patternFill>
          <bgColor rgb="FFFFC7CE"/>
        </patternFill>
      </fill>
    </dxf>
    <dxf>
      <fill>
        <patternFill patternType="solid">
          <fgColor indexed="64"/>
          <bgColor theme="6" tint="0.79998168889431442"/>
        </patternFill>
      </fill>
    </dxf>
    <dxf>
      <fill>
        <patternFill>
          <bgColor rgb="FFFFD44B"/>
        </patternFill>
      </fill>
    </dxf>
    <dxf>
      <fill>
        <patternFill>
          <bgColor theme="8" tint="0.39994506668294322"/>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ont>
        <color auto="1"/>
      </font>
      <fill>
        <patternFill>
          <bgColor rgb="FFFFC7CE"/>
        </patternFill>
      </fill>
    </dxf>
    <dxf>
      <fill>
        <patternFill>
          <bgColor rgb="FFFF6969"/>
        </patternFill>
      </fill>
    </dxf>
    <dxf>
      <fill>
        <patternFill>
          <bgColor rgb="FFFFD44B"/>
        </patternFill>
      </fill>
    </dxf>
    <dxf>
      <fill>
        <patternFill>
          <bgColor theme="8" tint="0.39994506668294322"/>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6969"/>
        </patternFill>
      </fill>
    </dxf>
    <dxf>
      <font>
        <color auto="1"/>
      </font>
      <fill>
        <patternFill>
          <bgColor rgb="FFFFC7CE"/>
        </patternFill>
      </fill>
    </dxf>
    <dxf>
      <fill>
        <patternFill>
          <bgColor rgb="FFFFD44B"/>
        </patternFill>
      </fill>
    </dxf>
    <dxf>
      <fill>
        <patternFill>
          <bgColor theme="8" tint="0.39994506668294322"/>
        </patternFill>
      </fill>
    </dxf>
    <dxf>
      <fill>
        <patternFill>
          <bgColor rgb="FFFF6969"/>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ont>
        <color auto="1"/>
      </font>
      <fill>
        <patternFill>
          <bgColor rgb="FFFFC7CE"/>
        </patternFill>
      </fill>
    </dxf>
    <dxf>
      <fill>
        <patternFill>
          <bgColor rgb="FFFFD44B"/>
        </patternFill>
      </fill>
    </dxf>
    <dxf>
      <fill>
        <patternFill>
          <bgColor theme="8" tint="0.39994506668294322"/>
        </patternFill>
      </fill>
    </dxf>
    <dxf>
      <fill>
        <patternFill>
          <bgColor theme="6" tint="0.39994506668294322"/>
        </patternFill>
      </fill>
    </dxf>
    <dxf>
      <fill>
        <patternFill>
          <bgColor theme="8"/>
        </patternFill>
      </fill>
    </dxf>
    <dxf>
      <font>
        <color auto="1"/>
      </font>
      <fill>
        <patternFill>
          <bgColor rgb="FFFF6D9E"/>
        </patternFill>
      </fill>
    </dxf>
    <dxf>
      <fill>
        <patternFill>
          <bgColor theme="7" tint="0.39994506668294322"/>
        </patternFill>
      </fill>
    </dxf>
    <dxf>
      <fill>
        <patternFill>
          <bgColor rgb="FFFF00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6" tint="0.59999389629810485"/>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theme="2" tint="-0.24994659260841701"/>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BBBB59"/>
        </patternFill>
      </fill>
    </dxf>
    <dxf>
      <fill>
        <patternFill patternType="solid">
          <fgColor indexed="64"/>
          <bgColor rgb="FF9E004F"/>
        </patternFill>
      </fill>
    </dxf>
    <dxf>
      <fill>
        <patternFill patternType="solid">
          <fgColor indexed="64"/>
          <bgColor rgb="FFDCC97A"/>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patternType="solid">
          <fgColor indexed="64"/>
          <bgColor rgb="FFDCC97A"/>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8"/>
        </patternFill>
      </fill>
    </dxf>
    <dxf>
      <fill>
        <patternFill>
          <bgColor rgb="FF4685D2"/>
        </patternFill>
      </fill>
    </dxf>
    <dxf>
      <fill>
        <patternFill>
          <bgColor theme="6" tint="0.39994506668294322"/>
        </patternFill>
      </fill>
    </dxf>
    <dxf>
      <fill>
        <patternFill patternType="solid">
          <fgColor indexed="64"/>
          <bgColor rgb="FF9E004F"/>
        </patternFill>
      </fill>
    </dxf>
    <dxf>
      <fill>
        <patternFill>
          <bgColor rgb="FFBBBB59"/>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FF9900"/>
        </patternFill>
      </fill>
    </dxf>
    <dxf>
      <fill>
        <patternFill>
          <bgColor theme="2" tint="-0.24994659260841701"/>
        </patternFill>
      </fill>
    </dxf>
    <dxf>
      <fill>
        <patternFill>
          <bgColor rgb="FFEEB400"/>
        </patternFill>
      </fill>
    </dxf>
    <dxf>
      <fill>
        <patternFill>
          <bgColor rgb="FFFF9900"/>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patternType="solid">
          <fgColor indexed="64"/>
          <bgColor rgb="FFE4E300"/>
        </patternFill>
      </fill>
    </dxf>
    <dxf>
      <fill>
        <patternFill>
          <bgColor rgb="FFEEB400"/>
        </patternFill>
      </fill>
    </dxf>
    <dxf>
      <font>
        <color auto="1"/>
      </font>
      <fill>
        <patternFill patternType="solid">
          <fgColor indexed="64"/>
          <bgColor theme="0" tint="-0.249977111117893"/>
        </patternFill>
      </fill>
    </dxf>
    <dxf>
      <fill>
        <patternFill>
          <bgColor theme="2" tint="-0.24994659260841701"/>
        </patternFill>
      </fill>
    </dxf>
    <dxf>
      <fill>
        <patternFill>
          <bgColor theme="9" tint="0.39994506668294322"/>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bgColor theme="8"/>
        </patternFill>
      </fill>
    </dxf>
    <dxf>
      <fill>
        <patternFill patternType="solid">
          <fgColor indexed="64"/>
          <bgColor theme="6" tint="0.59999389629810485"/>
        </patternFill>
      </fill>
    </dxf>
    <dxf>
      <fill>
        <patternFill>
          <bgColor rgb="FFFF9900"/>
        </patternFill>
      </fill>
    </dxf>
    <dxf>
      <fill>
        <patternFill>
          <bgColor theme="6" tint="0.39994506668294322"/>
        </patternFill>
      </fill>
    </dxf>
    <dxf>
      <fill>
        <patternFill patternType="solid">
          <fgColor indexed="64"/>
          <bgColor theme="0" tint="-4.9989318521683403E-2"/>
        </patternFill>
      </fill>
    </dxf>
    <dxf>
      <font>
        <color auto="1"/>
      </font>
      <fill>
        <patternFill>
          <bgColor rgb="FFFF6D9E"/>
        </patternFill>
      </fill>
    </dxf>
    <dxf>
      <fill>
        <patternFill>
          <bgColor rgb="FFE1AAA9"/>
        </patternFill>
      </fill>
    </dxf>
    <dxf>
      <fill>
        <patternFill>
          <bgColor theme="7" tint="0.39994506668294322"/>
        </patternFill>
      </fill>
    </dxf>
    <dxf>
      <fill>
        <patternFill>
          <bgColor theme="2" tint="-0.24994659260841701"/>
        </patternFill>
      </fill>
    </dxf>
    <dxf>
      <font>
        <color auto="1"/>
      </font>
      <fill>
        <patternFill>
          <bgColor rgb="FFFF6D9E"/>
        </patternFill>
      </fill>
    </dxf>
    <dxf>
      <fill>
        <patternFill>
          <bgColor rgb="FFE1AAA9"/>
        </patternFill>
      </fill>
    </dxf>
    <dxf>
      <fill>
        <patternFill>
          <bgColor theme="7" tint="0.39994506668294322"/>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BBBB59"/>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9" tint="0.39994506668294322"/>
        </patternFill>
      </fill>
    </dxf>
    <dxf>
      <fill>
        <patternFill patternType="solid">
          <fgColor indexed="64"/>
          <bgColor theme="4" tint="0.59999389629810485"/>
        </patternFill>
      </fill>
    </dxf>
    <dxf>
      <fill>
        <patternFill>
          <bgColor theme="8"/>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bgColor rgb="FFFF0000"/>
        </patternFill>
      </fill>
    </dxf>
    <dxf>
      <fill>
        <patternFill patternType="solid">
          <fgColor indexed="64"/>
          <bgColor theme="6" tint="0.59999389629810485"/>
        </patternFill>
      </fill>
    </dxf>
    <dxf>
      <fill>
        <patternFill>
          <bgColor rgb="FFBBBB59"/>
        </patternFill>
      </fill>
    </dxf>
    <dxf>
      <fill>
        <patternFill>
          <bgColor rgb="FF4685D2"/>
        </patternFill>
      </fill>
    </dxf>
    <dxf>
      <font>
        <color auto="1"/>
      </font>
      <fill>
        <patternFill>
          <bgColor rgb="FFFF6D9E"/>
        </patternFill>
      </fill>
    </dxf>
    <dxf>
      <font>
        <color auto="1"/>
      </font>
      <fill>
        <patternFill patternType="solid">
          <fgColor indexed="64"/>
          <bgColor theme="0" tint="-0.249977111117893"/>
        </patternFill>
      </fill>
    </dxf>
    <dxf>
      <fill>
        <patternFill>
          <bgColor rgb="FFBBBB59"/>
        </patternFill>
      </fill>
    </dxf>
    <dxf>
      <fill>
        <patternFill>
          <bgColor rgb="FFFF0000"/>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rgb="FF9E004F"/>
        </patternFill>
      </fill>
    </dxf>
    <dxf>
      <fill>
        <patternFill>
          <bgColor rgb="FF4685D2"/>
        </patternFill>
      </fill>
    </dxf>
    <dxf>
      <fill>
        <patternFill>
          <bgColor theme="2" tint="-0.24994659260841701"/>
        </patternFill>
      </fill>
    </dxf>
    <dxf>
      <fill>
        <patternFill>
          <bgColor theme="8"/>
        </patternFill>
      </fill>
    </dxf>
    <dxf>
      <fill>
        <patternFill>
          <bgColor rgb="FFE1AAA9"/>
        </patternFill>
      </fill>
    </dxf>
    <dxf>
      <fill>
        <patternFill>
          <bgColor theme="7" tint="0.39994506668294322"/>
        </patternFill>
      </fill>
    </dxf>
    <dxf>
      <fill>
        <patternFill>
          <bgColor theme="6" tint="0.39994506668294322"/>
        </patternFill>
      </fill>
    </dxf>
    <dxf>
      <fill>
        <patternFill patternType="solid">
          <fgColor indexed="64"/>
          <bgColor rgb="FFE4E300"/>
        </patternFill>
      </fill>
    </dxf>
    <dxf>
      <fill>
        <patternFill>
          <bgColor rgb="FFFF9900"/>
        </patternFill>
      </fill>
    </dxf>
    <dxf>
      <font>
        <color auto="1"/>
      </font>
      <fill>
        <patternFill>
          <bgColor rgb="FFFF6D9E"/>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patternType="solid">
          <fgColor indexed="64"/>
          <bgColor rgb="FFDCC97A"/>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theme="9" tint="0.39994506668294322"/>
        </patternFill>
      </fill>
    </dxf>
    <dxf>
      <fill>
        <patternFill>
          <bgColor rgb="FFFF9900"/>
        </patternFill>
      </fill>
    </dxf>
    <dxf>
      <fill>
        <patternFill>
          <bgColor rgb="FFEEB400"/>
        </patternFill>
      </fill>
    </dxf>
    <dxf>
      <fill>
        <patternFill patternType="solid">
          <fgColor indexed="64"/>
          <bgColor theme="6" tint="0.59999389629810485"/>
        </patternFill>
      </fill>
    </dxf>
    <dxf>
      <fill>
        <patternFill>
          <bgColor theme="8"/>
        </patternFill>
      </fill>
    </dxf>
    <dxf>
      <fill>
        <patternFill>
          <bgColor rgb="FFFF9900"/>
        </patternFill>
      </fill>
    </dxf>
    <dxf>
      <fill>
        <patternFill>
          <bgColor rgb="FFEEB400"/>
        </patternFill>
      </fill>
    </dxf>
    <dxf>
      <font>
        <color auto="1"/>
      </font>
      <fill>
        <patternFill>
          <bgColor rgb="FFFF6D9E"/>
        </patternFill>
      </fill>
    </dxf>
    <dxf>
      <fill>
        <patternFill>
          <bgColor rgb="FFE1AAA9"/>
        </patternFill>
      </fill>
    </dxf>
    <dxf>
      <fill>
        <patternFill>
          <bgColor theme="7" tint="0.39994506668294322"/>
        </patternFill>
      </fill>
    </dxf>
    <dxf>
      <fill>
        <patternFill>
          <bgColor rgb="FFFF0000"/>
        </patternFill>
      </fill>
    </dxf>
    <dxf>
      <fill>
        <patternFill patternType="solid">
          <fgColor indexed="64"/>
          <bgColor rgb="FFE4E300"/>
        </patternFill>
      </fill>
    </dxf>
    <dxf>
      <fill>
        <patternFill>
          <bgColor rgb="FFBBBB59"/>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4685D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EAEB74"/>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9" tint="0.39994506668294322"/>
        </patternFill>
      </fill>
    </dxf>
    <dxf>
      <fill>
        <patternFill>
          <bgColor rgb="FFFF9900"/>
        </patternFill>
      </fill>
    </dxf>
    <dxf>
      <fill>
        <patternFill>
          <bgColor theme="7" tint="0.39994506668294322"/>
        </patternFill>
      </fill>
    </dxf>
    <dxf>
      <fill>
        <patternFill>
          <bgColor theme="8"/>
        </patternFill>
      </fill>
    </dxf>
    <dxf>
      <fill>
        <patternFill>
          <bgColor rgb="FFE1AAA9"/>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4685D2"/>
        </patternFill>
      </fill>
    </dxf>
    <dxf>
      <fill>
        <patternFill>
          <bgColor rgb="FFEEB400"/>
        </patternFill>
      </fill>
    </dxf>
    <dxf>
      <font>
        <color auto="1"/>
      </font>
      <fill>
        <patternFill>
          <bgColor rgb="FFFF6D9E"/>
        </patternFill>
      </fill>
    </dxf>
    <dxf>
      <fill>
        <patternFill>
          <bgColor rgb="FFFF0000"/>
        </patternFill>
      </fill>
    </dxf>
    <dxf>
      <fill>
        <patternFill patternType="solid">
          <fgColor indexed="64"/>
          <bgColor rgb="FF9E004F"/>
        </patternFill>
      </fill>
    </dxf>
    <dxf>
      <fill>
        <patternFill>
          <bgColor rgb="FFBBBB59"/>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bgColor rgb="FFEEB400"/>
        </patternFill>
      </fill>
    </dxf>
    <dxf>
      <fill>
        <patternFill patternType="solid">
          <fgColor indexed="64"/>
          <bgColor rgb="FFE4E300"/>
        </patternFill>
      </fill>
    </dxf>
    <dxf>
      <fill>
        <patternFill>
          <bgColor rgb="FFFF99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EB400"/>
        </patternFill>
      </fill>
    </dxf>
    <dxf>
      <fill>
        <patternFill patternType="solid">
          <fgColor indexed="64"/>
          <bgColor rgb="FF9E004F"/>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B74"/>
      <color rgb="FFFFFF7A"/>
      <color rgb="FFBBBB59"/>
      <color rgb="FFA692BF"/>
      <color rgb="FF8400FF"/>
      <color rgb="FF6600C2"/>
      <color rgb="FF5D00AE"/>
      <color rgb="FFAE4C59"/>
      <color rgb="FF1D7FA7"/>
      <color rgb="FFDCC7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zoomScale="120" zoomScaleNormal="120" workbookViewId="0">
      <pane ySplit="1" topLeftCell="A19" activePane="bottomLeft" state="frozen"/>
      <selection pane="bottomLeft" activeCell="C27" sqref="C27"/>
    </sheetView>
  </sheetViews>
  <sheetFormatPr defaultColWidth="11" defaultRowHeight="15.5"/>
  <cols>
    <col min="1" max="1" width="23.6640625" style="8" customWidth="1" collapsed="1"/>
    <col min="2" max="2" width="34.83203125" style="8" bestFit="1" customWidth="1" collapsed="1"/>
    <col min="3" max="3" width="38.5" style="9" customWidth="1" collapsed="1"/>
    <col min="4" max="4" width="6.33203125" style="10" customWidth="1" collapsed="1"/>
    <col min="5" max="5" width="7.1640625" style="8" bestFit="1" customWidth="1" collapsed="1"/>
    <col min="6" max="6" width="12.6640625" style="8" customWidth="1" collapsed="1"/>
    <col min="7" max="7" width="5.83203125" style="8" customWidth="1" collapsed="1"/>
    <col min="8" max="8" width="5" style="10" customWidth="1" collapsed="1"/>
    <col min="9" max="9" width="47.33203125" style="8" bestFit="1" customWidth="1" collapsed="1"/>
    <col min="10" max="10" width="8.1640625" style="8" bestFit="1" customWidth="1" collapsed="1"/>
    <col min="11" max="11" width="8.33203125" style="8" bestFit="1" customWidth="1" collapsed="1"/>
    <col min="12" max="12" width="18" style="8" customWidth="1" collapsed="1"/>
    <col min="13" max="13" width="9.1640625" style="8" bestFit="1" customWidth="1" collapsed="1"/>
    <col min="14" max="14" width="18.33203125" style="8" customWidth="1" collapsed="1"/>
    <col min="15" max="15" width="13.1640625" style="8" customWidth="1" collapsed="1"/>
    <col min="16" max="16" width="12" style="8" bestFit="1" customWidth="1" collapsed="1"/>
    <col min="17" max="17" width="11.6640625" style="8" bestFit="1" customWidth="1" collapsed="1"/>
    <col min="18" max="18" width="11.5" style="8" bestFit="1" customWidth="1" collapsed="1"/>
    <col min="19" max="19" width="15" style="8" customWidth="1" collapsed="1"/>
    <col min="20" max="21" width="48" style="8" customWidth="1" collapsed="1"/>
    <col min="22" max="22" width="10.83203125" style="8" bestFit="1" customWidth="1" collapsed="1"/>
    <col min="23" max="23" width="17" style="8" bestFit="1" customWidth="1" collapsed="1"/>
    <col min="24" max="16384" width="11" style="2" collapsed="1"/>
  </cols>
  <sheetData>
    <row r="1" spans="1:23" s="3" customFormat="1" ht="18" customHeight="1">
      <c r="A1" s="5" t="s">
        <v>0</v>
      </c>
      <c r="B1" s="5" t="s">
        <v>1</v>
      </c>
      <c r="C1" s="76" t="s">
        <v>16</v>
      </c>
      <c r="D1" s="7" t="s">
        <v>364</v>
      </c>
      <c r="E1" s="5" t="s">
        <v>365</v>
      </c>
      <c r="F1" s="6" t="s">
        <v>366</v>
      </c>
      <c r="G1" s="5" t="s">
        <v>367</v>
      </c>
      <c r="H1" s="7" t="s">
        <v>32</v>
      </c>
      <c r="I1" s="5" t="s">
        <v>368</v>
      </c>
      <c r="J1" s="5" t="s">
        <v>369</v>
      </c>
      <c r="K1" s="5" t="s">
        <v>370</v>
      </c>
      <c r="L1" s="5" t="s">
        <v>31</v>
      </c>
      <c r="M1" s="5" t="s">
        <v>371</v>
      </c>
      <c r="N1" s="5" t="s">
        <v>372</v>
      </c>
      <c r="O1" s="5" t="s">
        <v>30</v>
      </c>
      <c r="P1" s="5" t="s">
        <v>373</v>
      </c>
      <c r="Q1" s="5" t="s">
        <v>374</v>
      </c>
      <c r="R1" s="5" t="s">
        <v>375</v>
      </c>
      <c r="S1" s="5" t="s">
        <v>36</v>
      </c>
      <c r="T1" s="5" t="s">
        <v>33</v>
      </c>
      <c r="U1" s="5" t="s">
        <v>34</v>
      </c>
      <c r="V1" s="5" t="s">
        <v>233</v>
      </c>
      <c r="W1" s="5" t="s">
        <v>234</v>
      </c>
    </row>
    <row r="2" spans="1:23">
      <c r="A2" s="8" t="s">
        <v>24</v>
      </c>
      <c r="B2" s="8" t="s">
        <v>8</v>
      </c>
      <c r="I2" s="10" t="s">
        <v>357</v>
      </c>
      <c r="J2" s="10" t="s">
        <v>357</v>
      </c>
    </row>
    <row r="3" spans="1:23" ht="16" customHeight="1">
      <c r="A3" s="8" t="s">
        <v>25</v>
      </c>
      <c r="B3" s="8" t="s">
        <v>9</v>
      </c>
    </row>
    <row r="4" spans="1:23">
      <c r="A4" s="8" t="s">
        <v>26</v>
      </c>
      <c r="B4" s="8" t="s">
        <v>26</v>
      </c>
      <c r="I4" s="10" t="s">
        <v>357</v>
      </c>
      <c r="J4" s="10" t="s">
        <v>357</v>
      </c>
    </row>
    <row r="5" spans="1:23">
      <c r="A5" s="8" t="s">
        <v>28</v>
      </c>
      <c r="B5" s="8" t="s">
        <v>10</v>
      </c>
      <c r="I5" s="10" t="s">
        <v>357</v>
      </c>
      <c r="J5" s="10" t="s">
        <v>357</v>
      </c>
    </row>
    <row r="6" spans="1:23">
      <c r="A6" s="8" t="s">
        <v>241</v>
      </c>
      <c r="B6" s="8" t="s">
        <v>241</v>
      </c>
      <c r="I6" s="10" t="s">
        <v>357</v>
      </c>
      <c r="J6" s="10" t="s">
        <v>357</v>
      </c>
    </row>
    <row r="7" spans="1:23">
      <c r="A7" s="8" t="s">
        <v>113</v>
      </c>
      <c r="B7" s="8" t="s">
        <v>294</v>
      </c>
      <c r="I7" s="10" t="s">
        <v>357</v>
      </c>
      <c r="J7" s="10" t="s">
        <v>357</v>
      </c>
      <c r="N7" s="8" t="s">
        <v>293</v>
      </c>
    </row>
    <row r="8" spans="1:23">
      <c r="A8" s="8" t="s">
        <v>113</v>
      </c>
      <c r="B8" s="8" t="s">
        <v>240</v>
      </c>
      <c r="I8" s="10" t="s">
        <v>357</v>
      </c>
      <c r="J8" s="10" t="s">
        <v>357</v>
      </c>
      <c r="N8" s="8" t="s">
        <v>239</v>
      </c>
    </row>
    <row r="9" spans="1:23">
      <c r="A9" s="8" t="s">
        <v>238</v>
      </c>
      <c r="B9" s="8" t="s">
        <v>238</v>
      </c>
      <c r="I9" s="10" t="s">
        <v>357</v>
      </c>
      <c r="J9" s="10" t="s">
        <v>357</v>
      </c>
    </row>
    <row r="10" spans="1:23">
      <c r="A10" s="79" t="s">
        <v>61</v>
      </c>
      <c r="B10" s="79" t="s">
        <v>819</v>
      </c>
      <c r="C10" s="78" t="s">
        <v>1165</v>
      </c>
      <c r="I10" s="10" t="s">
        <v>357</v>
      </c>
      <c r="J10" s="10" t="s">
        <v>357</v>
      </c>
      <c r="K10" s="2" t="s">
        <v>377</v>
      </c>
    </row>
    <row r="11" spans="1:23">
      <c r="A11" s="79" t="s">
        <v>61</v>
      </c>
      <c r="B11" s="79" t="s">
        <v>820</v>
      </c>
      <c r="C11" s="78" t="s">
        <v>1166</v>
      </c>
      <c r="I11" s="10" t="s">
        <v>357</v>
      </c>
      <c r="J11" s="10" t="s">
        <v>357</v>
      </c>
      <c r="K11" s="2" t="s">
        <v>377</v>
      </c>
    </row>
    <row r="12" spans="1:23">
      <c r="A12" s="79" t="s">
        <v>61</v>
      </c>
      <c r="B12" s="79" t="s">
        <v>821</v>
      </c>
      <c r="C12" s="78" t="s">
        <v>1167</v>
      </c>
      <c r="I12" s="10" t="s">
        <v>357</v>
      </c>
      <c r="J12" s="10" t="s">
        <v>357</v>
      </c>
      <c r="K12" s="2" t="s">
        <v>377</v>
      </c>
    </row>
    <row r="13" spans="1:23">
      <c r="A13" s="79" t="s">
        <v>61</v>
      </c>
      <c r="B13" s="79" t="s">
        <v>822</v>
      </c>
      <c r="C13" s="78" t="s">
        <v>1168</v>
      </c>
      <c r="I13" s="10" t="s">
        <v>357</v>
      </c>
      <c r="J13" s="10" t="s">
        <v>357</v>
      </c>
      <c r="K13" s="2" t="s">
        <v>377</v>
      </c>
    </row>
    <row r="14" spans="1:23">
      <c r="A14" s="79" t="s">
        <v>61</v>
      </c>
      <c r="B14" s="79" t="s">
        <v>823</v>
      </c>
      <c r="C14" s="78" t="s">
        <v>1169</v>
      </c>
      <c r="I14" s="10" t="s">
        <v>357</v>
      </c>
      <c r="J14" s="10" t="s">
        <v>357</v>
      </c>
      <c r="K14" s="2" t="s">
        <v>377</v>
      </c>
    </row>
    <row r="15" spans="1:23">
      <c r="A15" t="s">
        <v>61</v>
      </c>
      <c r="B15" t="s">
        <v>360</v>
      </c>
      <c r="C15" s="2" t="s">
        <v>376</v>
      </c>
      <c r="I15" s="10" t="s">
        <v>357</v>
      </c>
      <c r="J15" s="10" t="s">
        <v>357</v>
      </c>
      <c r="K15" t="s">
        <v>377</v>
      </c>
    </row>
    <row r="16" spans="1:23">
      <c r="A16" s="8" t="s">
        <v>61</v>
      </c>
      <c r="B16" s="8" t="s">
        <v>381</v>
      </c>
      <c r="C16" s="9" t="s">
        <v>382</v>
      </c>
      <c r="I16" s="10" t="s">
        <v>357</v>
      </c>
      <c r="J16" s="10" t="s">
        <v>357</v>
      </c>
      <c r="K16" t="s">
        <v>377</v>
      </c>
    </row>
    <row r="17" spans="1:11">
      <c r="A17" s="8" t="s">
        <v>61</v>
      </c>
      <c r="B17" s="8" t="s">
        <v>386</v>
      </c>
      <c r="C17" s="9" t="s">
        <v>827</v>
      </c>
      <c r="K17" t="s">
        <v>377</v>
      </c>
    </row>
    <row r="18" spans="1:11">
      <c r="A18" s="8" t="s">
        <v>387</v>
      </c>
      <c r="B18" s="8" t="s">
        <v>388</v>
      </c>
      <c r="C18" s="9" t="s">
        <v>828</v>
      </c>
      <c r="K18" t="s">
        <v>377</v>
      </c>
    </row>
    <row r="19" spans="1:11" ht="31">
      <c r="A19" s="8" t="s">
        <v>83</v>
      </c>
      <c r="B19" s="8" t="s">
        <v>398</v>
      </c>
      <c r="C19" s="9" t="s">
        <v>829</v>
      </c>
      <c r="K19" t="s">
        <v>377</v>
      </c>
    </row>
    <row r="20" spans="1:11">
      <c r="A20" s="2" t="s">
        <v>61</v>
      </c>
      <c r="B20" s="2" t="s">
        <v>825</v>
      </c>
      <c r="C20" s="78" t="s">
        <v>830</v>
      </c>
      <c r="K20" t="s">
        <v>357</v>
      </c>
    </row>
    <row r="21" spans="1:11">
      <c r="A21" t="s">
        <v>399</v>
      </c>
      <c r="B21" t="s">
        <v>400</v>
      </c>
      <c r="C21" s="2" t="s">
        <v>831</v>
      </c>
      <c r="K21" t="s">
        <v>377</v>
      </c>
    </row>
    <row r="22" spans="1:11">
      <c r="A22" t="s">
        <v>61</v>
      </c>
      <c r="B22" t="s">
        <v>401</v>
      </c>
      <c r="C22" s="2" t="s">
        <v>832</v>
      </c>
      <c r="I22" t="s">
        <v>402</v>
      </c>
      <c r="K22" t="s">
        <v>377</v>
      </c>
    </row>
    <row r="23" spans="1:11">
      <c r="A23" t="s">
        <v>404</v>
      </c>
      <c r="B23" t="s">
        <v>405</v>
      </c>
      <c r="C23" s="2" t="s">
        <v>833</v>
      </c>
      <c r="K23" t="s">
        <v>377</v>
      </c>
    </row>
    <row r="24" spans="1:11">
      <c r="A24" t="s">
        <v>422</v>
      </c>
      <c r="B24" t="s">
        <v>423</v>
      </c>
      <c r="C24" s="2" t="s">
        <v>834</v>
      </c>
      <c r="K24" t="s">
        <v>377</v>
      </c>
    </row>
    <row r="25" spans="1:11">
      <c r="A25" t="s">
        <v>124</v>
      </c>
      <c r="B25" t="s">
        <v>424</v>
      </c>
      <c r="C25" s="2" t="s">
        <v>835</v>
      </c>
    </row>
    <row r="26" spans="1:11">
      <c r="A26" t="s">
        <v>1170</v>
      </c>
      <c r="B26" t="s">
        <v>1171</v>
      </c>
      <c r="C26" s="2" t="s">
        <v>1172</v>
      </c>
      <c r="K26" t="s">
        <v>377</v>
      </c>
    </row>
    <row r="27" spans="1:11">
      <c r="A27" t="s">
        <v>65</v>
      </c>
      <c r="B27" t="s">
        <v>1173</v>
      </c>
      <c r="C27" s="2" t="s">
        <v>1174</v>
      </c>
      <c r="K27" t="s">
        <v>377</v>
      </c>
    </row>
    <row r="28" spans="1:11">
      <c r="A28" t="s">
        <v>125</v>
      </c>
      <c r="B28" t="s">
        <v>424</v>
      </c>
      <c r="C28" s="2" t="s">
        <v>357</v>
      </c>
      <c r="K28" t="s">
        <v>357</v>
      </c>
    </row>
    <row r="29" spans="1:11">
      <c r="A29" t="s">
        <v>426</v>
      </c>
      <c r="B29" t="s">
        <v>427</v>
      </c>
      <c r="C29" s="2" t="s">
        <v>836</v>
      </c>
      <c r="K29" t="s">
        <v>377</v>
      </c>
    </row>
    <row r="30" spans="1:11">
      <c r="A30" t="s">
        <v>438</v>
      </c>
      <c r="B30" t="s">
        <v>439</v>
      </c>
      <c r="C30" s="2" t="s">
        <v>837</v>
      </c>
      <c r="K30" t="s">
        <v>377</v>
      </c>
    </row>
    <row r="31" spans="1:11">
      <c r="A31" t="s">
        <v>61</v>
      </c>
      <c r="B31" t="s">
        <v>440</v>
      </c>
      <c r="C31" s="2" t="s">
        <v>838</v>
      </c>
      <c r="I31" t="s">
        <v>441</v>
      </c>
      <c r="K31" t="s">
        <v>442</v>
      </c>
    </row>
    <row r="32" spans="1:11">
      <c r="A32" t="s">
        <v>61</v>
      </c>
      <c r="B32" t="s">
        <v>443</v>
      </c>
      <c r="C32" t="s">
        <v>839</v>
      </c>
      <c r="K32" t="s">
        <v>377</v>
      </c>
    </row>
    <row r="33" spans="1:11">
      <c r="A33" t="s">
        <v>425</v>
      </c>
      <c r="B33" t="s">
        <v>448</v>
      </c>
      <c r="C33" s="2" t="s">
        <v>840</v>
      </c>
      <c r="K33" t="s">
        <v>377</v>
      </c>
    </row>
    <row r="34" spans="1:11">
      <c r="A34" t="s">
        <v>61</v>
      </c>
      <c r="B34" t="s">
        <v>444</v>
      </c>
      <c r="C34" s="2" t="s">
        <v>841</v>
      </c>
      <c r="I34" t="s">
        <v>449</v>
      </c>
      <c r="K34" t="s">
        <v>442</v>
      </c>
    </row>
    <row r="35" spans="1:11">
      <c r="A35" t="s">
        <v>445</v>
      </c>
      <c r="B35" t="s">
        <v>433</v>
      </c>
      <c r="C35" s="2" t="s">
        <v>842</v>
      </c>
      <c r="I35" t="s">
        <v>357</v>
      </c>
      <c r="K35" t="s">
        <v>377</v>
      </c>
    </row>
    <row r="36" spans="1:11">
      <c r="A36" t="s">
        <v>61</v>
      </c>
      <c r="B36" t="s">
        <v>446</v>
      </c>
      <c r="C36" s="2" t="s">
        <v>843</v>
      </c>
      <c r="I36" t="s">
        <v>447</v>
      </c>
      <c r="K36" t="s">
        <v>442</v>
      </c>
    </row>
    <row r="37" spans="1:11">
      <c r="A37" t="s">
        <v>425</v>
      </c>
      <c r="B37" t="s">
        <v>453</v>
      </c>
      <c r="C37" s="2" t="s">
        <v>844</v>
      </c>
      <c r="K37" t="s">
        <v>377</v>
      </c>
    </row>
    <row r="38" spans="1:11">
      <c r="A38" t="s">
        <v>462</v>
      </c>
      <c r="B38" t="s">
        <v>454</v>
      </c>
      <c r="C38" s="2" t="s">
        <v>845</v>
      </c>
      <c r="I38" t="s">
        <v>456</v>
      </c>
      <c r="K38" t="s">
        <v>377</v>
      </c>
    </row>
    <row r="39" spans="1:11">
      <c r="A39" t="s">
        <v>61</v>
      </c>
      <c r="B39" t="s">
        <v>483</v>
      </c>
      <c r="C39" s="2" t="s">
        <v>846</v>
      </c>
      <c r="I39" t="s">
        <v>455</v>
      </c>
      <c r="K39" t="s">
        <v>442</v>
      </c>
    </row>
    <row r="40" spans="1:11">
      <c r="A40" t="s">
        <v>61</v>
      </c>
      <c r="B40" t="s">
        <v>484</v>
      </c>
      <c r="C40" s="2" t="s">
        <v>847</v>
      </c>
      <c r="I40" t="s">
        <v>456</v>
      </c>
      <c r="K40" t="s">
        <v>442</v>
      </c>
    </row>
    <row r="41" spans="1:11">
      <c r="A41" t="s">
        <v>463</v>
      </c>
      <c r="B41" s="8" t="s">
        <v>485</v>
      </c>
      <c r="C41" s="9" t="s">
        <v>848</v>
      </c>
      <c r="K41" s="8" t="s">
        <v>377</v>
      </c>
    </row>
    <row r="42" spans="1:11">
      <c r="A42" s="72" t="s">
        <v>61</v>
      </c>
      <c r="B42" s="8" t="s">
        <v>486</v>
      </c>
      <c r="C42" s="81" t="s">
        <v>849</v>
      </c>
      <c r="I42" t="s">
        <v>487</v>
      </c>
      <c r="K42" s="8" t="s">
        <v>442</v>
      </c>
    </row>
    <row r="43" spans="1:11" ht="46.5">
      <c r="A43" s="8" t="s">
        <v>584</v>
      </c>
      <c r="B43" s="8" t="s">
        <v>618</v>
      </c>
      <c r="C43" s="9" t="s">
        <v>850</v>
      </c>
      <c r="I43" t="s">
        <v>357</v>
      </c>
      <c r="K43" s="8" t="s">
        <v>377</v>
      </c>
    </row>
    <row r="44" spans="1:11" ht="31">
      <c r="A44" s="8" t="s">
        <v>620</v>
      </c>
      <c r="B44" s="8" t="s">
        <v>621</v>
      </c>
      <c r="C44" s="9" t="s">
        <v>851</v>
      </c>
      <c r="I44" t="s">
        <v>1175</v>
      </c>
      <c r="K44" s="8" t="s">
        <v>442</v>
      </c>
    </row>
    <row r="45" spans="1:11">
      <c r="A45" s="72" t="s">
        <v>61</v>
      </c>
      <c r="B45" s="8" t="s">
        <v>622</v>
      </c>
      <c r="C45" s="9" t="s">
        <v>852</v>
      </c>
      <c r="I45" t="s">
        <v>623</v>
      </c>
      <c r="K45" s="8" t="s">
        <v>442</v>
      </c>
    </row>
    <row r="46" spans="1:11" ht="31">
      <c r="A46" s="8" t="s">
        <v>628</v>
      </c>
      <c r="B46" s="8" t="s">
        <v>629</v>
      </c>
      <c r="C46" s="9" t="s">
        <v>853</v>
      </c>
      <c r="I46" t="s">
        <v>357</v>
      </c>
      <c r="K46" s="8" t="s">
        <v>377</v>
      </c>
    </row>
    <row r="47" spans="1:11">
      <c r="A47" s="14" t="s">
        <v>461</v>
      </c>
      <c r="B47" s="8" t="s">
        <v>488</v>
      </c>
      <c r="C47" s="9" t="s">
        <v>854</v>
      </c>
      <c r="I47" t="s">
        <v>357</v>
      </c>
      <c r="K47" s="8" t="s">
        <v>377</v>
      </c>
    </row>
    <row r="48" spans="1:11" ht="31">
      <c r="A48" s="8" t="s">
        <v>464</v>
      </c>
      <c r="B48" s="8" t="s">
        <v>489</v>
      </c>
      <c r="C48" s="9" t="s">
        <v>855</v>
      </c>
      <c r="K48" s="8" t="s">
        <v>377</v>
      </c>
    </row>
    <row r="49" spans="1:11" ht="31">
      <c r="A49" s="8" t="s">
        <v>476</v>
      </c>
      <c r="B49" s="8" t="s">
        <v>490</v>
      </c>
      <c r="C49" s="9" t="s">
        <v>856</v>
      </c>
      <c r="I49" t="s">
        <v>357</v>
      </c>
      <c r="K49" s="8" t="s">
        <v>377</v>
      </c>
    </row>
    <row r="50" spans="1:11">
      <c r="A50" s="8" t="s">
        <v>477</v>
      </c>
      <c r="B50" s="8" t="s">
        <v>491</v>
      </c>
      <c r="C50" s="9" t="s">
        <v>857</v>
      </c>
      <c r="I50" t="s">
        <v>585</v>
      </c>
      <c r="K50" s="8" t="s">
        <v>377</v>
      </c>
    </row>
    <row r="51" spans="1:11">
      <c r="A51" s="14" t="s">
        <v>61</v>
      </c>
      <c r="B51" s="8" t="s">
        <v>492</v>
      </c>
      <c r="C51" s="9" t="s">
        <v>858</v>
      </c>
      <c r="I51" t="s">
        <v>586</v>
      </c>
      <c r="K51" s="8" t="s">
        <v>377</v>
      </c>
    </row>
    <row r="52" spans="1:11">
      <c r="A52" s="8" t="s">
        <v>482</v>
      </c>
      <c r="B52" s="8" t="s">
        <v>493</v>
      </c>
      <c r="C52" s="81" t="s">
        <v>859</v>
      </c>
      <c r="K52" s="8" t="s">
        <v>377</v>
      </c>
    </row>
    <row r="53" spans="1:11">
      <c r="A53" s="14" t="s">
        <v>61</v>
      </c>
      <c r="B53" s="8" t="s">
        <v>494</v>
      </c>
      <c r="C53" s="81" t="s">
        <v>860</v>
      </c>
      <c r="I53" t="s">
        <v>495</v>
      </c>
      <c r="K53" s="8" t="s">
        <v>377</v>
      </c>
    </row>
    <row r="54" spans="1:11" ht="31">
      <c r="A54" s="8" t="s">
        <v>862</v>
      </c>
      <c r="B54" s="8" t="s">
        <v>863</v>
      </c>
      <c r="C54" s="9" t="s">
        <v>861</v>
      </c>
      <c r="I54" t="s">
        <v>357</v>
      </c>
      <c r="K54" s="8" t="s">
        <v>377</v>
      </c>
    </row>
    <row r="55" spans="1:11">
      <c r="A55" s="8" t="s">
        <v>61</v>
      </c>
      <c r="B55" s="8" t="s">
        <v>868</v>
      </c>
      <c r="C55" s="9" t="s">
        <v>870</v>
      </c>
      <c r="I55" t="s">
        <v>869</v>
      </c>
      <c r="K55" s="8" t="s">
        <v>377</v>
      </c>
    </row>
    <row r="56" spans="1:11">
      <c r="A56" s="8" t="s">
        <v>124</v>
      </c>
      <c r="B56" s="8" t="s">
        <v>712</v>
      </c>
      <c r="C56" s="9" t="s">
        <v>871</v>
      </c>
      <c r="K56" s="8" t="s">
        <v>357</v>
      </c>
    </row>
    <row r="57" spans="1:11">
      <c r="A57" s="8" t="s">
        <v>713</v>
      </c>
      <c r="B57" s="8" t="s">
        <v>714</v>
      </c>
      <c r="C57" s="9" t="s">
        <v>715</v>
      </c>
      <c r="I57" t="s">
        <v>357</v>
      </c>
      <c r="K57" s="8" t="s">
        <v>377</v>
      </c>
    </row>
    <row r="58" spans="1:11">
      <c r="A58" s="8" t="s">
        <v>66</v>
      </c>
      <c r="B58" s="8" t="s">
        <v>716</v>
      </c>
      <c r="C58" s="9" t="s">
        <v>717</v>
      </c>
      <c r="I58" t="s">
        <v>357</v>
      </c>
      <c r="K58" s="8" t="s">
        <v>377</v>
      </c>
    </row>
    <row r="59" spans="1:11">
      <c r="A59" s="8" t="s">
        <v>125</v>
      </c>
      <c r="B59" s="8" t="s">
        <v>712</v>
      </c>
      <c r="C59" s="9" t="s">
        <v>357</v>
      </c>
      <c r="I59" t="s">
        <v>357</v>
      </c>
      <c r="K59" s="8" t="s">
        <v>357</v>
      </c>
    </row>
    <row r="60" spans="1:11" ht="31">
      <c r="A60" s="8" t="s">
        <v>498</v>
      </c>
      <c r="B60" s="8" t="s">
        <v>496</v>
      </c>
      <c r="C60" s="9" t="s">
        <v>872</v>
      </c>
      <c r="K60" s="8" t="s">
        <v>377</v>
      </c>
    </row>
    <row r="61" spans="1:11">
      <c r="A61" s="8" t="s">
        <v>500</v>
      </c>
      <c r="B61" s="8" t="s">
        <v>501</v>
      </c>
      <c r="C61" s="81" t="s">
        <v>873</v>
      </c>
      <c r="K61" s="8" t="s">
        <v>377</v>
      </c>
    </row>
    <row r="62" spans="1:11">
      <c r="A62" s="8" t="s">
        <v>509</v>
      </c>
      <c r="B62" s="14" t="s">
        <v>505</v>
      </c>
      <c r="C62" s="9" t="s">
        <v>874</v>
      </c>
      <c r="K62" s="8" t="s">
        <v>377</v>
      </c>
    </row>
    <row r="63" spans="1:11">
      <c r="A63" s="8" t="s">
        <v>1201</v>
      </c>
      <c r="B63" s="8" t="s">
        <v>510</v>
      </c>
      <c r="C63" s="9" t="s">
        <v>875</v>
      </c>
      <c r="K63" s="8" t="s">
        <v>377</v>
      </c>
    </row>
    <row r="64" spans="1:11">
      <c r="A64" s="8" t="s">
        <v>425</v>
      </c>
      <c r="B64" s="8" t="s">
        <v>516</v>
      </c>
      <c r="C64" s="81" t="s">
        <v>876</v>
      </c>
      <c r="I64" t="s">
        <v>357</v>
      </c>
      <c r="K64" s="8" t="s">
        <v>377</v>
      </c>
    </row>
    <row r="65" spans="1:11">
      <c r="A65" s="8" t="s">
        <v>528</v>
      </c>
      <c r="B65" s="8" t="s">
        <v>529</v>
      </c>
      <c r="C65" s="9" t="s">
        <v>877</v>
      </c>
      <c r="I65" t="s">
        <v>530</v>
      </c>
      <c r="K65" s="8" t="s">
        <v>377</v>
      </c>
    </row>
    <row r="66" spans="1:11">
      <c r="A66" s="8" t="s">
        <v>61</v>
      </c>
      <c r="B66" s="8" t="s">
        <v>531</v>
      </c>
      <c r="C66" s="82" t="s">
        <v>878</v>
      </c>
      <c r="I66" t="s">
        <v>587</v>
      </c>
      <c r="K66" s="8" t="s">
        <v>377</v>
      </c>
    </row>
    <row r="67" spans="1:11">
      <c r="A67" s="8" t="s">
        <v>425</v>
      </c>
      <c r="B67" s="8" t="s">
        <v>535</v>
      </c>
      <c r="C67" s="82" t="s">
        <v>879</v>
      </c>
      <c r="K67" s="8" t="s">
        <v>377</v>
      </c>
    </row>
    <row r="68" spans="1:11">
      <c r="A68" s="8" t="s">
        <v>862</v>
      </c>
      <c r="B68" s="8" t="s">
        <v>881</v>
      </c>
      <c r="C68" s="82" t="s">
        <v>880</v>
      </c>
      <c r="K68" s="8" t="s">
        <v>377</v>
      </c>
    </row>
    <row r="69" spans="1:11">
      <c r="A69" s="8" t="s">
        <v>61</v>
      </c>
      <c r="B69" s="8" t="s">
        <v>882</v>
      </c>
      <c r="C69" s="82" t="s">
        <v>884</v>
      </c>
      <c r="I69" t="s">
        <v>883</v>
      </c>
      <c r="K69" s="8" t="s">
        <v>377</v>
      </c>
    </row>
    <row r="70" spans="1:11">
      <c r="A70" s="8" t="s">
        <v>65</v>
      </c>
      <c r="B70" s="8" t="s">
        <v>540</v>
      </c>
      <c r="C70" s="9" t="s">
        <v>885</v>
      </c>
      <c r="I70" t="s">
        <v>357</v>
      </c>
      <c r="K70" s="8" t="s">
        <v>377</v>
      </c>
    </row>
    <row r="71" spans="1:11">
      <c r="A71" s="8" t="s">
        <v>124</v>
      </c>
      <c r="B71" s="8" t="s">
        <v>730</v>
      </c>
      <c r="C71" s="82" t="s">
        <v>886</v>
      </c>
      <c r="K71" s="8" t="s">
        <v>377</v>
      </c>
    </row>
    <row r="72" spans="1:11">
      <c r="A72" s="8" t="s">
        <v>731</v>
      </c>
      <c r="B72" s="8" t="s">
        <v>732</v>
      </c>
      <c r="C72" s="9" t="s">
        <v>733</v>
      </c>
      <c r="I72" t="s">
        <v>357</v>
      </c>
      <c r="K72" s="8" t="s">
        <v>377</v>
      </c>
    </row>
    <row r="73" spans="1:11">
      <c r="A73" s="8" t="s">
        <v>66</v>
      </c>
      <c r="B73" s="8" t="s">
        <v>734</v>
      </c>
      <c r="C73" s="9" t="s">
        <v>735</v>
      </c>
      <c r="I73" t="s">
        <v>357</v>
      </c>
      <c r="K73" s="8" t="s">
        <v>377</v>
      </c>
    </row>
    <row r="74" spans="1:11">
      <c r="A74" s="8" t="s">
        <v>125</v>
      </c>
      <c r="B74" s="8" t="s">
        <v>730</v>
      </c>
      <c r="C74" s="9" t="s">
        <v>357</v>
      </c>
      <c r="I74" t="s">
        <v>357</v>
      </c>
      <c r="K74" s="8" t="s">
        <v>357</v>
      </c>
    </row>
    <row r="75" spans="1:11">
      <c r="A75" s="8" t="s">
        <v>425</v>
      </c>
      <c r="B75" s="8" t="s">
        <v>541</v>
      </c>
      <c r="C75" s="82" t="s">
        <v>887</v>
      </c>
      <c r="K75" s="8" t="s">
        <v>377</v>
      </c>
    </row>
    <row r="76" spans="1:11">
      <c r="A76" s="8" t="s">
        <v>124</v>
      </c>
      <c r="B76" s="8" t="s">
        <v>738</v>
      </c>
      <c r="C76" s="82" t="s">
        <v>739</v>
      </c>
      <c r="I76" t="s">
        <v>1033</v>
      </c>
      <c r="K76" s="8" t="s">
        <v>377</v>
      </c>
    </row>
    <row r="77" spans="1:11">
      <c r="A77" s="8" t="s">
        <v>61</v>
      </c>
      <c r="B77" s="8" t="s">
        <v>740</v>
      </c>
      <c r="C77" s="9" t="s">
        <v>741</v>
      </c>
      <c r="I77" t="s">
        <v>357</v>
      </c>
      <c r="K77" s="8" t="s">
        <v>377</v>
      </c>
    </row>
    <row r="78" spans="1:11">
      <c r="A78" s="8" t="s">
        <v>65</v>
      </c>
      <c r="B78" s="8" t="s">
        <v>742</v>
      </c>
      <c r="C78" s="9" t="s">
        <v>743</v>
      </c>
      <c r="I78" t="s">
        <v>357</v>
      </c>
      <c r="K78" s="8" t="s">
        <v>377</v>
      </c>
    </row>
    <row r="79" spans="1:11">
      <c r="A79" s="8" t="s">
        <v>66</v>
      </c>
      <c r="B79" s="8" t="s">
        <v>744</v>
      </c>
      <c r="C79" s="9" t="s">
        <v>745</v>
      </c>
      <c r="K79" s="8" t="s">
        <v>357</v>
      </c>
    </row>
    <row r="80" spans="1:11">
      <c r="A80" s="8" t="s">
        <v>736</v>
      </c>
      <c r="B80" s="8" t="s">
        <v>746</v>
      </c>
      <c r="C80" s="9" t="s">
        <v>737</v>
      </c>
      <c r="I80" t="s">
        <v>357</v>
      </c>
      <c r="K80" s="8" t="s">
        <v>377</v>
      </c>
    </row>
    <row r="81" spans="1:11">
      <c r="A81" s="8" t="s">
        <v>125</v>
      </c>
      <c r="B81" s="8" t="s">
        <v>738</v>
      </c>
      <c r="C81" s="9" t="s">
        <v>357</v>
      </c>
      <c r="I81" t="s">
        <v>357</v>
      </c>
      <c r="K81" s="8" t="s">
        <v>377</v>
      </c>
    </row>
    <row r="82" spans="1:11">
      <c r="A82" s="8" t="s">
        <v>425</v>
      </c>
      <c r="B82" s="8" t="s">
        <v>542</v>
      </c>
      <c r="C82" s="82" t="s">
        <v>888</v>
      </c>
      <c r="I82" t="s">
        <v>357</v>
      </c>
      <c r="K82" s="8" t="s">
        <v>377</v>
      </c>
    </row>
    <row r="83" spans="1:11">
      <c r="A83" s="8" t="s">
        <v>544</v>
      </c>
      <c r="B83" s="8" t="s">
        <v>545</v>
      </c>
      <c r="C83" s="9" t="s">
        <v>889</v>
      </c>
      <c r="I83" t="s">
        <v>1034</v>
      </c>
      <c r="K83" s="8" t="s">
        <v>377</v>
      </c>
    </row>
    <row r="84" spans="1:11">
      <c r="A84" s="8" t="s">
        <v>61</v>
      </c>
      <c r="B84" s="8" t="s">
        <v>546</v>
      </c>
      <c r="C84" s="83" t="s">
        <v>890</v>
      </c>
      <c r="I84" t="s">
        <v>588</v>
      </c>
      <c r="K84" s="8" t="s">
        <v>377</v>
      </c>
    </row>
    <row r="85" spans="1:11" ht="31">
      <c r="A85" s="8" t="s">
        <v>548</v>
      </c>
      <c r="B85" s="8" t="s">
        <v>549</v>
      </c>
      <c r="C85" s="9" t="s">
        <v>891</v>
      </c>
      <c r="K85" s="8" t="s">
        <v>377</v>
      </c>
    </row>
    <row r="86" spans="1:11">
      <c r="A86" s="8" t="s">
        <v>61</v>
      </c>
      <c r="B86" s="8" t="s">
        <v>550</v>
      </c>
      <c r="C86" s="9" t="s">
        <v>892</v>
      </c>
      <c r="I86" t="s">
        <v>589</v>
      </c>
      <c r="K86" s="8" t="s">
        <v>377</v>
      </c>
    </row>
    <row r="87" spans="1:11" ht="46.5">
      <c r="A87" s="8" t="s">
        <v>425</v>
      </c>
      <c r="B87" s="8" t="s">
        <v>551</v>
      </c>
      <c r="C87" s="9" t="s">
        <v>893</v>
      </c>
      <c r="I87" t="s">
        <v>357</v>
      </c>
      <c r="K87" s="8" t="s">
        <v>377</v>
      </c>
    </row>
    <row r="88" spans="1:11" ht="31">
      <c r="A88" s="8" t="s">
        <v>425</v>
      </c>
      <c r="B88" s="8" t="s">
        <v>552</v>
      </c>
      <c r="C88" s="9" t="s">
        <v>894</v>
      </c>
      <c r="I88" t="s">
        <v>357</v>
      </c>
      <c r="K88" s="8" t="s">
        <v>377</v>
      </c>
    </row>
    <row r="89" spans="1:11" ht="46.5">
      <c r="A89" s="8" t="s">
        <v>577</v>
      </c>
      <c r="B89" s="8" t="s">
        <v>896</v>
      </c>
      <c r="C89" s="9" t="s">
        <v>895</v>
      </c>
      <c r="I89" t="s">
        <v>1035</v>
      </c>
      <c r="K89" s="8" t="s">
        <v>357</v>
      </c>
    </row>
    <row r="90" spans="1:11" ht="46.5">
      <c r="A90" s="8" t="s">
        <v>597</v>
      </c>
      <c r="B90" s="8" t="s">
        <v>898</v>
      </c>
      <c r="C90" s="9" t="s">
        <v>897</v>
      </c>
      <c r="I90" t="s">
        <v>357</v>
      </c>
      <c r="K90" s="8" t="s">
        <v>357</v>
      </c>
    </row>
    <row r="91" spans="1:11" ht="46.5">
      <c r="A91" s="8" t="s">
        <v>425</v>
      </c>
      <c r="B91" s="8" t="s">
        <v>899</v>
      </c>
      <c r="C91" s="9" t="s">
        <v>1176</v>
      </c>
      <c r="I91" t="s">
        <v>357</v>
      </c>
      <c r="K91" s="8" t="s">
        <v>357</v>
      </c>
    </row>
    <row r="92" spans="1:11" ht="46.5">
      <c r="A92" s="8" t="s">
        <v>577</v>
      </c>
      <c r="B92" s="8" t="s">
        <v>901</v>
      </c>
      <c r="C92" s="9" t="s">
        <v>900</v>
      </c>
      <c r="I92" t="s">
        <v>902</v>
      </c>
      <c r="K92" s="8" t="s">
        <v>357</v>
      </c>
    </row>
    <row r="93" spans="1:11" ht="46.5">
      <c r="A93" s="8" t="s">
        <v>597</v>
      </c>
      <c r="B93" s="8" t="s">
        <v>747</v>
      </c>
      <c r="C93" s="9" t="s">
        <v>903</v>
      </c>
      <c r="I93" t="s">
        <v>357</v>
      </c>
    </row>
    <row r="94" spans="1:11" ht="31">
      <c r="A94" s="85" t="s">
        <v>556</v>
      </c>
      <c r="B94" s="8" t="s">
        <v>553</v>
      </c>
      <c r="C94" s="9" t="s">
        <v>904</v>
      </c>
      <c r="K94" t="s">
        <v>377</v>
      </c>
    </row>
    <row r="95" spans="1:11">
      <c r="A95" s="86" t="s">
        <v>562</v>
      </c>
      <c r="B95" s="8" t="s">
        <v>563</v>
      </c>
      <c r="C95" s="70" t="s">
        <v>905</v>
      </c>
      <c r="K95" t="s">
        <v>377</v>
      </c>
    </row>
    <row r="96" spans="1:11">
      <c r="A96" s="8" t="s">
        <v>425</v>
      </c>
      <c r="B96" s="8" t="s">
        <v>557</v>
      </c>
      <c r="C96" s="70" t="s">
        <v>906</v>
      </c>
      <c r="I96" s="8" t="s">
        <v>357</v>
      </c>
      <c r="K96" t="s">
        <v>377</v>
      </c>
    </row>
    <row r="97" spans="1:11" ht="30.5">
      <c r="A97" s="85" t="s">
        <v>425</v>
      </c>
      <c r="B97" s="8" t="s">
        <v>908</v>
      </c>
      <c r="C97" s="77" t="s">
        <v>907</v>
      </c>
      <c r="K97" t="s">
        <v>377</v>
      </c>
    </row>
    <row r="98" spans="1:11">
      <c r="A98" s="8" t="s">
        <v>910</v>
      </c>
      <c r="B98" s="8" t="s">
        <v>909</v>
      </c>
      <c r="C98" s="9" t="s">
        <v>911</v>
      </c>
      <c r="I98" t="s">
        <v>912</v>
      </c>
      <c r="K98" s="8" t="s">
        <v>377</v>
      </c>
    </row>
    <row r="99" spans="1:11">
      <c r="A99" s="8" t="s">
        <v>925</v>
      </c>
      <c r="B99" s="8" t="s">
        <v>924</v>
      </c>
      <c r="C99" s="9" t="s">
        <v>923</v>
      </c>
      <c r="I99" t="s">
        <v>912</v>
      </c>
      <c r="K99" s="8" t="s">
        <v>377</v>
      </c>
    </row>
    <row r="100" spans="1:11" ht="31">
      <c r="A100" s="8" t="s">
        <v>425</v>
      </c>
      <c r="B100" s="8" t="s">
        <v>564</v>
      </c>
      <c r="C100" s="9" t="s">
        <v>926</v>
      </c>
      <c r="K100" s="8" t="s">
        <v>442</v>
      </c>
    </row>
    <row r="101" spans="1:11">
      <c r="A101" s="8" t="s">
        <v>124</v>
      </c>
      <c r="B101" s="8" t="s">
        <v>1202</v>
      </c>
      <c r="C101" s="9" t="s">
        <v>1203</v>
      </c>
      <c r="I101" s="2" t="s">
        <v>1036</v>
      </c>
      <c r="K101" s="8" t="s">
        <v>357</v>
      </c>
    </row>
    <row r="102" spans="1:11">
      <c r="A102" s="8" t="s">
        <v>1204</v>
      </c>
      <c r="B102" s="8" t="s">
        <v>1205</v>
      </c>
      <c r="C102" s="9" t="s">
        <v>1206</v>
      </c>
      <c r="I102" t="s">
        <v>357</v>
      </c>
      <c r="K102" s="8" t="s">
        <v>377</v>
      </c>
    </row>
    <row r="103" spans="1:11">
      <c r="A103" s="8" t="s">
        <v>61</v>
      </c>
      <c r="B103" s="8" t="s">
        <v>566</v>
      </c>
      <c r="C103" s="9" t="s">
        <v>1207</v>
      </c>
      <c r="I103" t="s">
        <v>1208</v>
      </c>
      <c r="K103" s="8" t="s">
        <v>377</v>
      </c>
    </row>
    <row r="104" spans="1:11">
      <c r="A104" s="8" t="s">
        <v>569</v>
      </c>
      <c r="B104" s="8" t="s">
        <v>567</v>
      </c>
      <c r="C104" s="9" t="s">
        <v>927</v>
      </c>
      <c r="I104" t="s">
        <v>357</v>
      </c>
      <c r="K104" s="8" t="s">
        <v>377</v>
      </c>
    </row>
    <row r="105" spans="1:11">
      <c r="A105" s="8" t="s">
        <v>571</v>
      </c>
      <c r="B105" s="8" t="s">
        <v>572</v>
      </c>
      <c r="C105" s="9" t="s">
        <v>928</v>
      </c>
      <c r="I105" t="s">
        <v>357</v>
      </c>
      <c r="K105" s="8" t="s">
        <v>377</v>
      </c>
    </row>
    <row r="106" spans="1:11">
      <c r="A106" s="8" t="s">
        <v>574</v>
      </c>
      <c r="B106" s="8" t="s">
        <v>575</v>
      </c>
      <c r="C106" s="9" t="s">
        <v>929</v>
      </c>
      <c r="I106" t="s">
        <v>357</v>
      </c>
      <c r="K106" s="8" t="s">
        <v>377</v>
      </c>
    </row>
    <row r="107" spans="1:11">
      <c r="A107" s="8" t="s">
        <v>125</v>
      </c>
      <c r="B107" s="8" t="s">
        <v>1202</v>
      </c>
      <c r="C107" s="9" t="s">
        <v>357</v>
      </c>
      <c r="I107" t="s">
        <v>357</v>
      </c>
      <c r="K107" s="8" t="s">
        <v>357</v>
      </c>
    </row>
    <row r="108" spans="1:11" ht="46.5">
      <c r="A108" s="8" t="s">
        <v>584</v>
      </c>
      <c r="B108" s="8" t="s">
        <v>578</v>
      </c>
      <c r="C108" s="9" t="s">
        <v>930</v>
      </c>
      <c r="K108" s="8" t="s">
        <v>377</v>
      </c>
    </row>
    <row r="109" spans="1:11">
      <c r="A109" s="8" t="s">
        <v>61</v>
      </c>
      <c r="B109" s="8" t="s">
        <v>580</v>
      </c>
      <c r="C109" s="9" t="s">
        <v>1038</v>
      </c>
      <c r="I109" t="s">
        <v>1037</v>
      </c>
      <c r="K109" s="8" t="s">
        <v>442</v>
      </c>
    </row>
    <row r="110" spans="1:11">
      <c r="A110" s="8" t="s">
        <v>582</v>
      </c>
      <c r="B110" s="8" t="s">
        <v>581</v>
      </c>
      <c r="C110" s="9" t="s">
        <v>1039</v>
      </c>
      <c r="I110" t="s">
        <v>357</v>
      </c>
      <c r="K110" s="8" t="s">
        <v>377</v>
      </c>
    </row>
    <row r="111" spans="1:11">
      <c r="A111" s="8" t="s">
        <v>425</v>
      </c>
      <c r="B111" s="8" t="s">
        <v>590</v>
      </c>
      <c r="C111" s="81" t="s">
        <v>931</v>
      </c>
      <c r="I111" t="s">
        <v>357</v>
      </c>
      <c r="K111" s="8" t="s">
        <v>442</v>
      </c>
    </row>
    <row r="112" spans="1:11">
      <c r="A112" s="8" t="s">
        <v>593</v>
      </c>
      <c r="B112" s="8" t="s">
        <v>591</v>
      </c>
      <c r="C112" s="9" t="s">
        <v>932</v>
      </c>
      <c r="K112" s="8" t="s">
        <v>377</v>
      </c>
    </row>
    <row r="113" spans="1:11">
      <c r="A113" s="8" t="s">
        <v>61</v>
      </c>
      <c r="B113" s="8" t="s">
        <v>594</v>
      </c>
      <c r="C113" s="87" t="s">
        <v>933</v>
      </c>
      <c r="I113" t="s">
        <v>357</v>
      </c>
      <c r="K113" s="8" t="s">
        <v>377</v>
      </c>
    </row>
    <row r="114" spans="1:11" ht="62">
      <c r="A114" s="8" t="s">
        <v>597</v>
      </c>
      <c r="B114" s="8" t="s">
        <v>595</v>
      </c>
      <c r="C114" s="9" t="s">
        <v>934</v>
      </c>
      <c r="K114" s="8" t="s">
        <v>377</v>
      </c>
    </row>
    <row r="115" spans="1:11" ht="31">
      <c r="A115" s="8" t="s">
        <v>599</v>
      </c>
      <c r="B115" s="8" t="s">
        <v>600</v>
      </c>
      <c r="C115" s="9" t="s">
        <v>935</v>
      </c>
      <c r="I115" t="s">
        <v>357</v>
      </c>
      <c r="K115" s="8" t="s">
        <v>377</v>
      </c>
    </row>
    <row r="116" spans="1:11" ht="31">
      <c r="A116" s="8" t="s">
        <v>602</v>
      </c>
      <c r="B116" s="8" t="s">
        <v>603</v>
      </c>
      <c r="C116" s="9" t="s">
        <v>936</v>
      </c>
      <c r="I116" t="s">
        <v>357</v>
      </c>
      <c r="K116" s="8" t="s">
        <v>442</v>
      </c>
    </row>
    <row r="117" spans="1:11" ht="31">
      <c r="A117" s="8" t="s">
        <v>605</v>
      </c>
      <c r="B117" s="8" t="s">
        <v>606</v>
      </c>
      <c r="C117" s="9" t="s">
        <v>937</v>
      </c>
      <c r="K117" s="8" t="s">
        <v>377</v>
      </c>
    </row>
    <row r="118" spans="1:11">
      <c r="A118" s="8" t="s">
        <v>61</v>
      </c>
      <c r="B118" s="8" t="s">
        <v>607</v>
      </c>
      <c r="C118" s="9" t="s">
        <v>938</v>
      </c>
      <c r="I118" t="s">
        <v>608</v>
      </c>
      <c r="K118" s="8" t="s">
        <v>442</v>
      </c>
    </row>
    <row r="119" spans="1:11" ht="62">
      <c r="A119" s="8" t="s">
        <v>597</v>
      </c>
      <c r="B119" s="14" t="s">
        <v>609</v>
      </c>
      <c r="C119" s="9" t="s">
        <v>939</v>
      </c>
      <c r="K119" s="8" t="s">
        <v>377</v>
      </c>
    </row>
    <row r="120" spans="1:11" ht="77.5">
      <c r="A120" s="8" t="s">
        <v>597</v>
      </c>
      <c r="B120" s="8" t="s">
        <v>610</v>
      </c>
      <c r="C120" s="9" t="s">
        <v>940</v>
      </c>
      <c r="I120" t="s">
        <v>357</v>
      </c>
      <c r="K120" s="8" t="s">
        <v>377</v>
      </c>
    </row>
    <row r="121" spans="1:11" ht="31">
      <c r="A121" s="8" t="s">
        <v>612</v>
      </c>
      <c r="B121" s="8" t="s">
        <v>613</v>
      </c>
      <c r="C121" s="9" t="s">
        <v>941</v>
      </c>
      <c r="I121" t="s">
        <v>357</v>
      </c>
      <c r="K121" s="8" t="s">
        <v>377</v>
      </c>
    </row>
    <row r="122" spans="1:11" ht="46.5">
      <c r="A122" s="8" t="s">
        <v>616</v>
      </c>
      <c r="B122" s="8" t="s">
        <v>617</v>
      </c>
      <c r="C122" s="9" t="s">
        <v>942</v>
      </c>
      <c r="I122" t="s">
        <v>357</v>
      </c>
      <c r="K122" s="8" t="s">
        <v>377</v>
      </c>
    </row>
    <row r="123" spans="1:11" ht="46.5">
      <c r="A123" s="8" t="s">
        <v>425</v>
      </c>
      <c r="B123" s="8" t="s">
        <v>630</v>
      </c>
      <c r="C123" s="9" t="s">
        <v>943</v>
      </c>
      <c r="D123" s="2" t="s">
        <v>357</v>
      </c>
      <c r="E123" s="2" t="s">
        <v>357</v>
      </c>
      <c r="F123" s="2" t="s">
        <v>357</v>
      </c>
      <c r="G123" s="2" t="s">
        <v>357</v>
      </c>
      <c r="H123" s="2" t="s">
        <v>357</v>
      </c>
      <c r="I123" s="2" t="s">
        <v>357</v>
      </c>
      <c r="J123" s="2" t="s">
        <v>357</v>
      </c>
      <c r="K123" s="79" t="s">
        <v>377</v>
      </c>
    </row>
    <row r="124" spans="1:11" ht="31">
      <c r="A124" s="8" t="s">
        <v>124</v>
      </c>
      <c r="B124" s="8" t="s">
        <v>762</v>
      </c>
      <c r="C124" s="9" t="s">
        <v>944</v>
      </c>
      <c r="D124" s="2" t="s">
        <v>357</v>
      </c>
      <c r="E124" s="2" t="s">
        <v>357</v>
      </c>
      <c r="F124" s="2" t="s">
        <v>357</v>
      </c>
      <c r="G124" s="2" t="s">
        <v>357</v>
      </c>
      <c r="H124" s="2" t="s">
        <v>357</v>
      </c>
      <c r="I124" s="2" t="s">
        <v>763</v>
      </c>
      <c r="J124" s="2" t="s">
        <v>357</v>
      </c>
      <c r="K124" s="79" t="s">
        <v>442</v>
      </c>
    </row>
    <row r="125" spans="1:11">
      <c r="A125" s="8" t="s">
        <v>764</v>
      </c>
      <c r="B125" s="8" t="s">
        <v>765</v>
      </c>
      <c r="C125" s="9" t="s">
        <v>766</v>
      </c>
      <c r="K125" s="8" t="s">
        <v>377</v>
      </c>
    </row>
    <row r="126" spans="1:11">
      <c r="A126" s="8" t="s">
        <v>61</v>
      </c>
      <c r="B126" s="8" t="s">
        <v>767</v>
      </c>
      <c r="C126" s="9" t="s">
        <v>768</v>
      </c>
      <c r="I126" t="s">
        <v>1040</v>
      </c>
      <c r="K126" s="8" t="s">
        <v>442</v>
      </c>
    </row>
    <row r="127" spans="1:11">
      <c r="A127" s="8" t="s">
        <v>769</v>
      </c>
      <c r="B127" s="8" t="s">
        <v>770</v>
      </c>
      <c r="C127" s="9" t="s">
        <v>771</v>
      </c>
      <c r="I127" t="s">
        <v>357</v>
      </c>
      <c r="K127" s="8" t="s">
        <v>357</v>
      </c>
    </row>
    <row r="128" spans="1:11">
      <c r="A128" s="8" t="s">
        <v>772</v>
      </c>
      <c r="B128" s="8" t="s">
        <v>773</v>
      </c>
      <c r="C128" s="9" t="s">
        <v>774</v>
      </c>
      <c r="I128" t="s">
        <v>357</v>
      </c>
      <c r="K128" s="8" t="s">
        <v>377</v>
      </c>
    </row>
    <row r="129" spans="1:15">
      <c r="A129" s="8" t="s">
        <v>125</v>
      </c>
      <c r="B129" s="8" t="s">
        <v>762</v>
      </c>
      <c r="C129" s="9" t="s">
        <v>357</v>
      </c>
      <c r="I129" t="s">
        <v>357</v>
      </c>
      <c r="K129" s="8" t="s">
        <v>377</v>
      </c>
    </row>
    <row r="130" spans="1:15" ht="46.5">
      <c r="A130" s="8" t="s">
        <v>597</v>
      </c>
      <c r="B130" s="8" t="s">
        <v>631</v>
      </c>
      <c r="C130" s="9" t="s">
        <v>945</v>
      </c>
      <c r="K130" s="8" t="s">
        <v>377</v>
      </c>
    </row>
    <row r="131" spans="1:15" ht="46.5">
      <c r="A131" s="8" t="s">
        <v>597</v>
      </c>
      <c r="B131" s="8" t="s">
        <v>632</v>
      </c>
      <c r="C131" s="9" t="s">
        <v>946</v>
      </c>
      <c r="I131" t="s">
        <v>357</v>
      </c>
      <c r="K131" s="8" t="s">
        <v>377</v>
      </c>
    </row>
    <row r="132" spans="1:15" ht="46.5">
      <c r="A132" s="8" t="s">
        <v>597</v>
      </c>
      <c r="B132" s="8" t="s">
        <v>633</v>
      </c>
      <c r="C132" s="9" t="s">
        <v>947</v>
      </c>
      <c r="K132" s="8" t="s">
        <v>377</v>
      </c>
    </row>
    <row r="133" spans="1:15" ht="46.5">
      <c r="A133" s="8" t="s">
        <v>597</v>
      </c>
      <c r="B133" s="8" t="s">
        <v>634</v>
      </c>
      <c r="C133" s="9" t="s">
        <v>948</v>
      </c>
      <c r="I133" t="s">
        <v>357</v>
      </c>
      <c r="K133" s="8" t="s">
        <v>377</v>
      </c>
    </row>
    <row r="134" spans="1:15" ht="31">
      <c r="A134" s="8" t="s">
        <v>425</v>
      </c>
      <c r="B134" s="8" t="s">
        <v>635</v>
      </c>
      <c r="C134" s="9" t="s">
        <v>949</v>
      </c>
      <c r="I134" t="s">
        <v>357</v>
      </c>
      <c r="K134" t="s">
        <v>377</v>
      </c>
    </row>
    <row r="135" spans="1:15">
      <c r="A135" t="s">
        <v>425</v>
      </c>
      <c r="B135" t="s">
        <v>636</v>
      </c>
      <c r="C135" s="2" t="s">
        <v>950</v>
      </c>
      <c r="I135" t="s">
        <v>357</v>
      </c>
      <c r="K135" t="s">
        <v>377</v>
      </c>
    </row>
    <row r="136" spans="1:15">
      <c r="A136" t="s">
        <v>638</v>
      </c>
      <c r="B136" t="s">
        <v>639</v>
      </c>
      <c r="C136" s="2" t="s">
        <v>951</v>
      </c>
      <c r="I136" t="s">
        <v>640</v>
      </c>
      <c r="K136" t="s">
        <v>377</v>
      </c>
    </row>
    <row r="137" spans="1:15">
      <c r="A137" t="s">
        <v>643</v>
      </c>
      <c r="B137" t="s">
        <v>644</v>
      </c>
      <c r="C137" s="2" t="s">
        <v>952</v>
      </c>
      <c r="I137" t="s">
        <v>357</v>
      </c>
      <c r="K137" t="s">
        <v>377</v>
      </c>
    </row>
    <row r="138" spans="1:15">
      <c r="A138" t="s">
        <v>61</v>
      </c>
      <c r="B138" t="s">
        <v>1181</v>
      </c>
      <c r="C138" s="2" t="s">
        <v>1182</v>
      </c>
      <c r="I138" t="s">
        <v>1183</v>
      </c>
      <c r="K138" t="s">
        <v>377</v>
      </c>
    </row>
    <row r="139" spans="1:15">
      <c r="A139" t="s">
        <v>597</v>
      </c>
      <c r="B139" t="s">
        <v>645</v>
      </c>
      <c r="C139" s="2" t="s">
        <v>953</v>
      </c>
      <c r="I139" t="s">
        <v>357</v>
      </c>
      <c r="K139" t="s">
        <v>377</v>
      </c>
    </row>
    <row r="140" spans="1:15">
      <c r="A140" t="s">
        <v>956</v>
      </c>
      <c r="B140" t="s">
        <v>955</v>
      </c>
      <c r="C140" s="2" t="s">
        <v>954</v>
      </c>
      <c r="I140" t="s">
        <v>357</v>
      </c>
      <c r="K140" t="s">
        <v>377</v>
      </c>
      <c r="O140" t="s">
        <v>357</v>
      </c>
    </row>
    <row r="141" spans="1:15">
      <c r="A141" t="s">
        <v>425</v>
      </c>
      <c r="B141" t="s">
        <v>646</v>
      </c>
      <c r="C141" s="2" t="s">
        <v>959</v>
      </c>
      <c r="I141" s="2" t="s">
        <v>357</v>
      </c>
      <c r="K141" t="s">
        <v>377</v>
      </c>
      <c r="O141" t="s">
        <v>357</v>
      </c>
    </row>
    <row r="142" spans="1:15">
      <c r="A142" t="s">
        <v>649</v>
      </c>
      <c r="B142" t="s">
        <v>647</v>
      </c>
      <c r="C142" s="2" t="s">
        <v>960</v>
      </c>
      <c r="I142" t="s">
        <v>1041</v>
      </c>
      <c r="K142" t="s">
        <v>442</v>
      </c>
    </row>
    <row r="143" spans="1:15">
      <c r="A143" t="s">
        <v>61</v>
      </c>
      <c r="B143" t="s">
        <v>650</v>
      </c>
      <c r="C143" s="2" t="s">
        <v>961</v>
      </c>
      <c r="F143" t="s">
        <v>357</v>
      </c>
      <c r="I143" t="s">
        <v>651</v>
      </c>
      <c r="K143" t="s">
        <v>442</v>
      </c>
    </row>
    <row r="144" spans="1:15">
      <c r="A144" t="s">
        <v>124</v>
      </c>
      <c r="B144" t="s">
        <v>775</v>
      </c>
      <c r="C144" s="2" t="s">
        <v>962</v>
      </c>
      <c r="I144" t="s">
        <v>357</v>
      </c>
      <c r="K144" t="s">
        <v>377</v>
      </c>
    </row>
    <row r="145" spans="1:11">
      <c r="A145" t="s">
        <v>787</v>
      </c>
      <c r="B145" t="s">
        <v>788</v>
      </c>
      <c r="C145" s="2" t="s">
        <v>789</v>
      </c>
      <c r="I145" t="s">
        <v>357</v>
      </c>
      <c r="K145" t="s">
        <v>377</v>
      </c>
    </row>
    <row r="146" spans="1:11">
      <c r="A146" t="s">
        <v>61</v>
      </c>
      <c r="B146" t="s">
        <v>790</v>
      </c>
      <c r="C146" s="2" t="s">
        <v>791</v>
      </c>
      <c r="I146" t="s">
        <v>792</v>
      </c>
      <c r="K146" t="s">
        <v>377</v>
      </c>
    </row>
    <row r="147" spans="1:11">
      <c r="A147" t="s">
        <v>425</v>
      </c>
      <c r="B147" t="s">
        <v>776</v>
      </c>
      <c r="C147" s="2" t="s">
        <v>777</v>
      </c>
      <c r="I147" t="s">
        <v>357</v>
      </c>
      <c r="K147" t="s">
        <v>377</v>
      </c>
    </row>
    <row r="148" spans="1:11">
      <c r="A148" t="s">
        <v>425</v>
      </c>
      <c r="B148" t="s">
        <v>778</v>
      </c>
      <c r="C148" s="2" t="s">
        <v>793</v>
      </c>
      <c r="I148" t="s">
        <v>357</v>
      </c>
      <c r="K148" t="s">
        <v>377</v>
      </c>
    </row>
    <row r="149" spans="1:11">
      <c r="A149" t="s">
        <v>425</v>
      </c>
      <c r="B149" t="s">
        <v>779</v>
      </c>
      <c r="C149" s="2" t="s">
        <v>794</v>
      </c>
      <c r="I149" t="s">
        <v>357</v>
      </c>
      <c r="K149" t="s">
        <v>377</v>
      </c>
    </row>
    <row r="150" spans="1:11">
      <c r="A150" t="s">
        <v>125</v>
      </c>
      <c r="B150" t="s">
        <v>775</v>
      </c>
      <c r="C150" s="2" t="s">
        <v>357</v>
      </c>
      <c r="I150" t="s">
        <v>357</v>
      </c>
      <c r="K150" t="s">
        <v>357</v>
      </c>
    </row>
    <row r="151" spans="1:11">
      <c r="A151" t="s">
        <v>654</v>
      </c>
      <c r="B151" t="s">
        <v>653</v>
      </c>
      <c r="C151" s="2" t="s">
        <v>963</v>
      </c>
      <c r="I151" t="s">
        <v>357</v>
      </c>
      <c r="K151" t="s">
        <v>377</v>
      </c>
    </row>
    <row r="152" spans="1:11">
      <c r="A152" t="s">
        <v>61</v>
      </c>
      <c r="B152" t="s">
        <v>655</v>
      </c>
      <c r="C152" s="2" t="s">
        <v>964</v>
      </c>
      <c r="I152" t="s">
        <v>656</v>
      </c>
      <c r="K152" t="s">
        <v>442</v>
      </c>
    </row>
    <row r="153" spans="1:11">
      <c r="A153" t="s">
        <v>597</v>
      </c>
      <c r="B153" t="s">
        <v>657</v>
      </c>
      <c r="C153" s="2" t="s">
        <v>965</v>
      </c>
      <c r="I153" t="s">
        <v>357</v>
      </c>
      <c r="K153" t="s">
        <v>377</v>
      </c>
    </row>
    <row r="154" spans="1:11">
      <c r="A154" t="s">
        <v>597</v>
      </c>
      <c r="B154" t="s">
        <v>658</v>
      </c>
      <c r="C154" s="2" t="s">
        <v>966</v>
      </c>
      <c r="I154" t="s">
        <v>357</v>
      </c>
      <c r="K154" t="s">
        <v>377</v>
      </c>
    </row>
    <row r="155" spans="1:11">
      <c r="A155" t="s">
        <v>597</v>
      </c>
      <c r="B155" t="s">
        <v>659</v>
      </c>
      <c r="C155" s="2" t="s">
        <v>967</v>
      </c>
      <c r="K155" t="s">
        <v>377</v>
      </c>
    </row>
    <row r="156" spans="1:11">
      <c r="A156" t="s">
        <v>661</v>
      </c>
      <c r="B156" t="s">
        <v>662</v>
      </c>
      <c r="C156" s="2" t="s">
        <v>968</v>
      </c>
      <c r="I156" t="s">
        <v>357</v>
      </c>
      <c r="K156" t="s">
        <v>377</v>
      </c>
    </row>
    <row r="157" spans="1:11" ht="31">
      <c r="A157" t="s">
        <v>664</v>
      </c>
      <c r="B157" t="s">
        <v>665</v>
      </c>
      <c r="C157" s="88" t="s">
        <v>969</v>
      </c>
      <c r="K157" t="s">
        <v>377</v>
      </c>
    </row>
    <row r="158" spans="1:11">
      <c r="A158" t="s">
        <v>425</v>
      </c>
      <c r="B158" t="s">
        <v>970</v>
      </c>
      <c r="C158" s="2" t="s">
        <v>971</v>
      </c>
      <c r="I158" t="s">
        <v>357</v>
      </c>
      <c r="K158" t="s">
        <v>377</v>
      </c>
    </row>
    <row r="159" spans="1:11">
      <c r="A159" s="8" t="s">
        <v>124</v>
      </c>
      <c r="B159" s="8" t="s">
        <v>803</v>
      </c>
      <c r="C159" s="9" t="s">
        <v>972</v>
      </c>
      <c r="K159" t="s">
        <v>377</v>
      </c>
    </row>
    <row r="160" spans="1:11">
      <c r="A160" t="s">
        <v>804</v>
      </c>
      <c r="B160" t="s">
        <v>805</v>
      </c>
      <c r="C160" s="2" t="s">
        <v>806</v>
      </c>
      <c r="K160" t="s">
        <v>377</v>
      </c>
    </row>
    <row r="161" spans="1:11">
      <c r="A161" t="s">
        <v>807</v>
      </c>
      <c r="B161" t="s">
        <v>808</v>
      </c>
      <c r="C161" s="2" t="s">
        <v>809</v>
      </c>
      <c r="I161" t="s">
        <v>357</v>
      </c>
      <c r="K161" t="s">
        <v>377</v>
      </c>
    </row>
    <row r="162" spans="1:11">
      <c r="A162" t="s">
        <v>61</v>
      </c>
      <c r="B162" t="s">
        <v>810</v>
      </c>
      <c r="C162" s="2" t="s">
        <v>811</v>
      </c>
      <c r="K162" t="s">
        <v>442</v>
      </c>
    </row>
    <row r="163" spans="1:11">
      <c r="A163" t="s">
        <v>425</v>
      </c>
      <c r="B163" t="s">
        <v>812</v>
      </c>
      <c r="C163" s="2" t="s">
        <v>813</v>
      </c>
      <c r="I163" t="s">
        <v>357</v>
      </c>
      <c r="K163" t="s">
        <v>377</v>
      </c>
    </row>
    <row r="164" spans="1:11">
      <c r="A164" t="s">
        <v>814</v>
      </c>
      <c r="B164" t="s">
        <v>815</v>
      </c>
      <c r="C164" s="2" t="s">
        <v>816</v>
      </c>
      <c r="K164" t="s">
        <v>442</v>
      </c>
    </row>
    <row r="165" spans="1:11">
      <c r="A165" t="s">
        <v>61</v>
      </c>
      <c r="B165" t="s">
        <v>817</v>
      </c>
      <c r="C165" s="2" t="s">
        <v>818</v>
      </c>
      <c r="K165" t="s">
        <v>377</v>
      </c>
    </row>
    <row r="166" spans="1:11">
      <c r="A166" t="s">
        <v>974</v>
      </c>
      <c r="B166" t="s">
        <v>975</v>
      </c>
      <c r="C166" s="2" t="s">
        <v>973</v>
      </c>
      <c r="I166" t="s">
        <v>357</v>
      </c>
      <c r="K166" t="s">
        <v>377</v>
      </c>
    </row>
    <row r="167" spans="1:11">
      <c r="A167" t="s">
        <v>125</v>
      </c>
      <c r="B167" t="s">
        <v>803</v>
      </c>
      <c r="C167" s="2" t="s">
        <v>357</v>
      </c>
      <c r="I167" t="s">
        <v>357</v>
      </c>
      <c r="K167" t="s">
        <v>442</v>
      </c>
    </row>
    <row r="168" spans="1:11">
      <c r="A168" t="s">
        <v>1184</v>
      </c>
      <c r="B168" t="s">
        <v>1185</v>
      </c>
      <c r="C168" s="2" t="s">
        <v>1186</v>
      </c>
      <c r="K168" t="s">
        <v>377</v>
      </c>
    </row>
    <row r="169" spans="1:11">
      <c r="A169" t="s">
        <v>124</v>
      </c>
      <c r="B169" t="s">
        <v>1187</v>
      </c>
      <c r="C169" s="2" t="s">
        <v>1188</v>
      </c>
      <c r="I169" t="s">
        <v>1189</v>
      </c>
      <c r="K169" t="s">
        <v>357</v>
      </c>
    </row>
    <row r="170" spans="1:11">
      <c r="A170" t="s">
        <v>61</v>
      </c>
      <c r="B170" t="s">
        <v>1190</v>
      </c>
      <c r="C170" s="88" t="s">
        <v>1191</v>
      </c>
      <c r="K170" t="s">
        <v>377</v>
      </c>
    </row>
    <row r="171" spans="1:11">
      <c r="A171" t="s">
        <v>66</v>
      </c>
      <c r="B171" t="s">
        <v>1192</v>
      </c>
      <c r="C171" s="2" t="s">
        <v>717</v>
      </c>
      <c r="I171" t="s">
        <v>357</v>
      </c>
      <c r="K171" t="s">
        <v>377</v>
      </c>
    </row>
    <row r="172" spans="1:11">
      <c r="A172" t="s">
        <v>61</v>
      </c>
      <c r="B172" t="s">
        <v>1193</v>
      </c>
      <c r="C172" s="2" t="s">
        <v>1194</v>
      </c>
      <c r="K172" t="s">
        <v>377</v>
      </c>
    </row>
    <row r="173" spans="1:11">
      <c r="A173" t="s">
        <v>569</v>
      </c>
      <c r="B173" t="s">
        <v>1195</v>
      </c>
      <c r="C173" s="2" t="s">
        <v>1196</v>
      </c>
      <c r="K173" t="s">
        <v>377</v>
      </c>
    </row>
    <row r="174" spans="1:11">
      <c r="A174" t="s">
        <v>736</v>
      </c>
      <c r="B174" t="s">
        <v>1197</v>
      </c>
      <c r="C174" s="2" t="s">
        <v>737</v>
      </c>
      <c r="K174" t="s">
        <v>377</v>
      </c>
    </row>
    <row r="175" spans="1:11">
      <c r="A175" t="s">
        <v>125</v>
      </c>
      <c r="B175" t="s">
        <v>1187</v>
      </c>
      <c r="C175" s="2" t="s">
        <v>357</v>
      </c>
      <c r="I175" t="s">
        <v>357</v>
      </c>
      <c r="K175" t="s">
        <v>357</v>
      </c>
    </row>
    <row r="176" spans="1:11">
      <c r="A176" t="s">
        <v>668</v>
      </c>
      <c r="B176" t="s">
        <v>669</v>
      </c>
      <c r="C176" s="2" t="s">
        <v>981</v>
      </c>
      <c r="I176" t="s">
        <v>357</v>
      </c>
      <c r="K176" t="s">
        <v>377</v>
      </c>
    </row>
    <row r="177" spans="1:11">
      <c r="A177" t="s">
        <v>671</v>
      </c>
      <c r="B177" t="s">
        <v>672</v>
      </c>
      <c r="C177" s="2" t="s">
        <v>982</v>
      </c>
      <c r="I177" t="s">
        <v>357</v>
      </c>
      <c r="K177" t="s">
        <v>377</v>
      </c>
    </row>
    <row r="178" spans="1:11">
      <c r="A178" t="s">
        <v>61</v>
      </c>
      <c r="B178" t="s">
        <v>673</v>
      </c>
      <c r="C178" s="88" t="s">
        <v>983</v>
      </c>
      <c r="I178" t="s">
        <v>674</v>
      </c>
      <c r="K178" s="8" t="s">
        <v>377</v>
      </c>
    </row>
    <row r="179" spans="1:11">
      <c r="A179" t="s">
        <v>676</v>
      </c>
      <c r="B179" t="s">
        <v>677</v>
      </c>
      <c r="C179" s="2" t="s">
        <v>984</v>
      </c>
      <c r="K179" s="8" t="s">
        <v>377</v>
      </c>
    </row>
    <row r="180" spans="1:11">
      <c r="A180" t="s">
        <v>584</v>
      </c>
      <c r="B180" t="s">
        <v>678</v>
      </c>
      <c r="C180" s="2" t="s">
        <v>985</v>
      </c>
      <c r="I180" t="s">
        <v>357</v>
      </c>
      <c r="K180" s="8" t="s">
        <v>377</v>
      </c>
    </row>
    <row r="181" spans="1:11">
      <c r="A181" t="s">
        <v>425</v>
      </c>
      <c r="B181" t="s">
        <v>679</v>
      </c>
      <c r="C181" t="s">
        <v>986</v>
      </c>
      <c r="I181" t="s">
        <v>357</v>
      </c>
      <c r="K181" t="s">
        <v>377</v>
      </c>
    </row>
    <row r="182" spans="1:11">
      <c r="A182" t="s">
        <v>681</v>
      </c>
      <c r="B182" t="s">
        <v>682</v>
      </c>
      <c r="C182" t="s">
        <v>987</v>
      </c>
      <c r="I182" t="s">
        <v>683</v>
      </c>
      <c r="K182" t="s">
        <v>377</v>
      </c>
    </row>
    <row r="183" spans="1:11">
      <c r="A183" t="s">
        <v>61</v>
      </c>
      <c r="B183" t="s">
        <v>1198</v>
      </c>
      <c r="C183" t="s">
        <v>1199</v>
      </c>
      <c r="I183" t="s">
        <v>1200</v>
      </c>
      <c r="K183" t="s">
        <v>377</v>
      </c>
    </row>
    <row r="184" spans="1:11">
      <c r="A184" t="s">
        <v>685</v>
      </c>
      <c r="B184" t="s">
        <v>686</v>
      </c>
      <c r="C184" t="s">
        <v>988</v>
      </c>
      <c r="K184" t="s">
        <v>377</v>
      </c>
    </row>
    <row r="185" spans="1:11">
      <c r="A185" t="s">
        <v>688</v>
      </c>
      <c r="B185" t="s">
        <v>689</v>
      </c>
      <c r="C185" t="s">
        <v>989</v>
      </c>
      <c r="K185" t="s">
        <v>442</v>
      </c>
    </row>
    <row r="186" spans="1:11">
      <c r="A186" t="s">
        <v>597</v>
      </c>
      <c r="B186" t="s">
        <v>690</v>
      </c>
      <c r="C186" t="s">
        <v>990</v>
      </c>
      <c r="I186" t="s">
        <v>357</v>
      </c>
      <c r="K186" t="s">
        <v>377</v>
      </c>
    </row>
    <row r="187" spans="1:11">
      <c r="A187" t="s">
        <v>425</v>
      </c>
      <c r="B187" t="s">
        <v>691</v>
      </c>
      <c r="C187" t="s">
        <v>991</v>
      </c>
      <c r="K187" t="s">
        <v>377</v>
      </c>
    </row>
    <row r="188" spans="1:11">
      <c r="A188" t="s">
        <v>61</v>
      </c>
      <c r="B188" t="s">
        <v>692</v>
      </c>
      <c r="C188" t="s">
        <v>992</v>
      </c>
      <c r="I188" t="s">
        <v>693</v>
      </c>
      <c r="K188" t="s">
        <v>442</v>
      </c>
    </row>
  </sheetData>
  <sheetProtection selectLockedCells="1" selectUnlockedCells="1"/>
  <phoneticPr fontId="1" type="noConversion"/>
  <conditionalFormatting sqref="A47">
    <cfRule type="expression" dxfId="944" priority="6138">
      <formula>NOT($A47=$A124)</formula>
    </cfRule>
  </conditionalFormatting>
  <conditionalFormatting sqref="A51">
    <cfRule type="expression" dxfId="943" priority="2474">
      <formula>NOT($A51=$A46)</formula>
    </cfRule>
  </conditionalFormatting>
  <conditionalFormatting sqref="A53">
    <cfRule type="expression" dxfId="942" priority="272">
      <formula>NOT($A53=$A52)</formula>
    </cfRule>
  </conditionalFormatting>
  <conditionalFormatting sqref="A96">
    <cfRule type="expression" dxfId="941" priority="203" stopIfTrue="1">
      <formula>OR($A96="audio", $A96="video")</formula>
    </cfRule>
    <cfRule type="expression" dxfId="940" priority="219" stopIfTrue="1">
      <formula>$A96="begin group"</formula>
    </cfRule>
    <cfRule type="expression" dxfId="939" priority="199" stopIfTrue="1">
      <formula>$A96="file"</formula>
    </cfRule>
    <cfRule type="expression" dxfId="938" priority="200" stopIfTrue="1">
      <formula>$A96="enumerator"</formula>
    </cfRule>
    <cfRule type="expression" dxfId="937" priority="201" stopIfTrue="1">
      <formula>OR(AND(LEFT($A96, 14)="sensor_stream ", LEN($A96)&gt;14, NOT(ISNUMBER(SEARCH(" ", $A96, 15)))), AND(LEFT($A96, 17)="sensor_statistic ", LEN($A96)&gt;17, NOT(ISNUMBER(SEARCH(" ", $A96, 18)))))</formula>
    </cfRule>
    <cfRule type="expression" dxfId="936" priority="202" stopIfTrue="1">
      <formula>$A96="comments"</formula>
    </cfRule>
    <cfRule type="expression" dxfId="935" priority="204" stopIfTrue="1">
      <formula>$A96="image"</formula>
    </cfRule>
    <cfRule type="expression" dxfId="934" priority="205" stopIfTrue="1">
      <formula>OR($A96="date", $A96="datetime", $A96="time")</formula>
    </cfRule>
    <cfRule type="expression" dxfId="933" priority="216" stopIfTrue="1">
      <formula>$A96="end repeat"</formula>
    </cfRule>
    <cfRule type="expression" dxfId="932" priority="215" stopIfTrue="1">
      <formula>$A96="text"</formula>
    </cfRule>
    <cfRule type="expression" dxfId="931" priority="214" stopIfTrue="1">
      <formula>$A96="integer"</formula>
    </cfRule>
    <cfRule type="expression" dxfId="930" priority="213" stopIfTrue="1">
      <formula>$A96="decimal"</formula>
    </cfRule>
    <cfRule type="expression" dxfId="929" priority="212" stopIfTrue="1">
      <formula>OR(AND(LEFT($A96, 16)="select_multiple ", LEN($A96)&gt;16, NOT(ISNUMBER(SEARCH(" ", $A96, 17)))), AND(LEFT($A96, 11)="select_one ", LEN($A96)&gt;11, NOT(ISNUMBER(SEARCH(" ", $A96, 12)))))</formula>
    </cfRule>
    <cfRule type="expression" dxfId="928" priority="211" stopIfTrue="1">
      <formula>OR($A96="username", $A96="phonenumber", $A96="start", $A96="end", $A96="deviceid", $A96="subscriberid", $A96="simserial", $A96="caseid")</formula>
    </cfRule>
    <cfRule type="expression" dxfId="927" priority="210" stopIfTrue="1">
      <formula>OR($A96="audio audit", $A96="text audit", $A96="speed violations count", $A96="speed violations list", $A96="speed violations audit")</formula>
    </cfRule>
    <cfRule type="expression" dxfId="926" priority="209" stopIfTrue="1">
      <formula>OR($A96="geopoint", $A96="geoshape", $A96="geotrace")</formula>
    </cfRule>
    <cfRule type="expression" dxfId="925" priority="208" stopIfTrue="1">
      <formula>$A96="barcode"</formula>
    </cfRule>
    <cfRule type="expression" dxfId="924" priority="207" stopIfTrue="1">
      <formula>$A96="note"</formula>
    </cfRule>
    <cfRule type="expression" dxfId="923" priority="217" stopIfTrue="1">
      <formula>$A96="begin repeat"</formula>
    </cfRule>
    <cfRule type="expression" dxfId="922" priority="206" stopIfTrue="1">
      <formula>OR($A96="calculate", $A96="calculate_here")</formula>
    </cfRule>
    <cfRule type="expression" dxfId="921" priority="218" stopIfTrue="1">
      <formula>$A96="end group"</formula>
    </cfRule>
  </conditionalFormatting>
  <conditionalFormatting sqref="A72:C73">
    <cfRule type="expression" dxfId="920" priority="247" stopIfTrue="1">
      <formula>$A72="comments"</formula>
    </cfRule>
    <cfRule type="expression" dxfId="919" priority="267" stopIfTrue="1">
      <formula>$A72="begin group"</formula>
    </cfRule>
    <cfRule type="expression" dxfId="918" priority="266" stopIfTrue="1">
      <formula>$A72="end group"</formula>
    </cfRule>
    <cfRule type="expression" dxfId="917" priority="265" stopIfTrue="1">
      <formula>$A72="begin repeat"</formula>
    </cfRule>
    <cfRule type="expression" dxfId="916" priority="264" stopIfTrue="1">
      <formula>$A72="end repeat"</formula>
    </cfRule>
    <cfRule type="expression" dxfId="915" priority="263" stopIfTrue="1">
      <formula>$A72="text"</formula>
    </cfRule>
    <cfRule type="expression" dxfId="914" priority="261" stopIfTrue="1">
      <formula>$A72="integer"</formula>
    </cfRule>
    <cfRule type="expression" dxfId="913" priority="259" stopIfTrue="1">
      <formula>$A72="decimal"</formula>
    </cfRule>
    <cfRule type="expression" dxfId="912" priority="257" stopIfTrue="1">
      <formula>OR(AND(LEFT($A72, 16)="select_multiple ", LEN($A72)&gt;16, NOT(ISNUMBER(SEARCH(" ", $A72, 17)))), AND(LEFT($A72, 11)="select_one ", LEN($A72)&gt;11, NOT(ISNUMBER(SEARCH(" ", $A72, 12)))))</formula>
    </cfRule>
    <cfRule type="expression" dxfId="911" priority="256" stopIfTrue="1">
      <formula>OR($A72="username", $A72="phonenumber", $A72="start", $A72="end", $A72="deviceid", $A72="subscriberid", $A72="simserial", $A72="caseid")</formula>
    </cfRule>
    <cfRule type="expression" dxfId="910" priority="255" stopIfTrue="1">
      <formula>OR($A72="audio audit", $A72="text audit", $A72="speed violations count", $A72="speed violations list", $A72="speed violations audit")</formula>
    </cfRule>
    <cfRule type="expression" dxfId="909" priority="254" stopIfTrue="1">
      <formula>OR($A72="geopoint", $A72="geoshape", $A72="geotrace")</formula>
    </cfRule>
    <cfRule type="expression" dxfId="908" priority="253" stopIfTrue="1">
      <formula>$A72="barcode"</formula>
    </cfRule>
    <cfRule type="expression" dxfId="907" priority="252" stopIfTrue="1">
      <formula>$A72="note"</formula>
    </cfRule>
    <cfRule type="expression" dxfId="906" priority="251" stopIfTrue="1">
      <formula>OR($A72="calculate", $A72="calculate_here")</formula>
    </cfRule>
    <cfRule type="expression" dxfId="905" priority="250" stopIfTrue="1">
      <formula>OR($A72="date", $A72="datetime", $A72="time")</formula>
    </cfRule>
    <cfRule type="expression" dxfId="904" priority="249" stopIfTrue="1">
      <formula>$A72="image"</formula>
    </cfRule>
    <cfRule type="expression" dxfId="903" priority="248" stopIfTrue="1">
      <formula>OR($A72="audio", $A72="video")</formula>
    </cfRule>
    <cfRule type="expression" dxfId="902" priority="246" stopIfTrue="1">
      <formula>OR(AND(LEFT($A72, 14)="sensor_stream ", LEN($A72)&gt;14, NOT(ISNUMBER(SEARCH(" ", $A72, 15)))), AND(LEFT($A72, 17)="sensor_statistic ", LEN($A72)&gt;17, NOT(ISNUMBER(SEARCH(" ", $A72, 18)))))</formula>
    </cfRule>
    <cfRule type="expression" dxfId="901" priority="245" stopIfTrue="1">
      <formula>$A72="enumerator"</formula>
    </cfRule>
    <cfRule type="expression" dxfId="900" priority="243" stopIfTrue="1">
      <formula>$A72="file"</formula>
    </cfRule>
  </conditionalFormatting>
  <conditionalFormatting sqref="A1:W14 A15:K41 B42 A43:K44 B45:K45 A46:K46 B47:K47 A48:K50 B51:K51 A52:B52 B53 A54:K60 A61:B61 A63:J63 A64:B64 A65:K65 A66:B69 A70:K70 A71:B71 A74:C74 A75:B76 A77:C81 A82:B82 A83:C83 A84:B84 A85:C93 B94:C94 B95:B97 A98:C110 A111:B111 A112:C118 A120:C1048576 D42:K42 D52:K53 D61:J61 K61:K64 A62 C62:J62 D64:J64 D66:K69 D71:K71 A119 C119">
    <cfRule type="expression" dxfId="899" priority="286" stopIfTrue="1">
      <formula>$A1="comments"</formula>
    </cfRule>
    <cfRule type="expression" dxfId="898" priority="298" stopIfTrue="1">
      <formula>OR($A1="calculate", $A1="calculate_here")</formula>
    </cfRule>
  </conditionalFormatting>
  <conditionalFormatting sqref="A1:W14 A15:K41 B42 A43:K44 B45:K45 A46:K46 B47:K47 A48:K50 B51:K51 A52:B52 B53 A54:K60 A61:B61 C62:J62 A63:J63 A64:B64 A65:K65 A66:B69 A70:K70 A71:B71 A74:C74 A75:B76 A77:C81 A82:B82 A83:C83 A84:B84 A85:C93 B94:C94 B95:B97 A98:C110 A111:B111 A112:C118 C119 A120:C1048576 D42:K42 D52:K53 D61:J61 K61:K64 A62 D64:J64 D66:K69 D71:K71 A119">
    <cfRule type="expression" dxfId="897" priority="304" stopIfTrue="1">
      <formula>OR($A1="geopoint", $A1="geoshape", $A1="geotrace")</formula>
    </cfRule>
    <cfRule type="expression" dxfId="896" priority="302" stopIfTrue="1">
      <formula>$A1="barcode"</formula>
    </cfRule>
    <cfRule type="expression" dxfId="895" priority="300" stopIfTrue="1">
      <formula>$A1="note"</formula>
    </cfRule>
    <cfRule type="expression" dxfId="894" priority="275" stopIfTrue="1">
      <formula>$A1="file"</formula>
    </cfRule>
    <cfRule type="expression" dxfId="893" priority="290" stopIfTrue="1">
      <formula>OR($A1="audio", $A1="video")</formula>
    </cfRule>
  </conditionalFormatting>
  <conditionalFormatting sqref="A1:W14 A15:K41 B42 D42:K42 A43:K44 B45:K45 A46:K46 B47:K47 A48:K50 B51:K51 A52:B52 D52:K53 B53 A54:K60 A61:B61 D61:J61 C62:J62 A63:J63 A64:B64 D64:J64 A65:K65 A66:B69 D66:K69 A70:K70 A71:B71 D71:K71 A74:C74 A75:B76 A77:C81 A82:B82 A83:C83 A84:B84 A85:C93 B94:C94 B95:B97 A98:C110 A111:B111 A112:C118 A120:C1048576 K61:K64 A62 A119 C119">
    <cfRule type="expression" dxfId="892" priority="306" stopIfTrue="1">
      <formula>OR($A1="audio audit", $A1="text audit", $A1="speed violations count", $A1="speed violations list", $A1="speed violations audit")</formula>
    </cfRule>
    <cfRule type="expression" dxfId="891" priority="283" stopIfTrue="1">
      <formula>OR(AND(LEFT($A1, 14)="sensor_stream ", LEN($A1)&gt;14, NOT(ISNUMBER(SEARCH(" ", $A1, 15)))), AND(LEFT($A1, 17)="sensor_statistic ", LEN($A1)&gt;17, NOT(ISNUMBER(SEARCH(" ", $A1, 18)))))</formula>
    </cfRule>
  </conditionalFormatting>
  <conditionalFormatting sqref="A1:W14 A15:K41 B42 D42:K42 A43:K44 B45:K45 A46:K46 B47:K47 A48:K50 B51:K51 A52:B52 D52:K53 B53 A54:K60 A61:B61 D61:J61 C62:J62 A63:J63 A64:B64 D64:J64 A65:K65 A66:B69 D66:K69 A70:K70 A71:B71 D71:K71 A74:C74 A75:B76 A77:C81 A82:B82 A83:C83 A84:B84 A85:C93 B94:C94 B95:B97 A98:C110 A111:B111 A112:C118 C119 A120:C1048576 K61:K64 A62 A119">
    <cfRule type="expression" dxfId="890" priority="331" stopIfTrue="1">
      <formula>$A1="begin group"</formula>
    </cfRule>
    <cfRule type="expression" dxfId="889" priority="321" stopIfTrue="1">
      <formula>$A1="decimal"</formula>
    </cfRule>
    <cfRule type="expression" dxfId="888" priority="316" stopIfTrue="1">
      <formula>OR(AND(LEFT($A1, 16)="select_multiple ", LEN($A1)&gt;16, NOT(ISNUMBER(SEARCH(" ", $A1, 17)))), AND(LEFT($A1, 11)="select_one ", LEN($A1)&gt;11, NOT(ISNUMBER(SEARCH(" ", $A1, 12)))))</formula>
    </cfRule>
    <cfRule type="expression" dxfId="887" priority="323" stopIfTrue="1">
      <formula>$A1="integer"</formula>
    </cfRule>
    <cfRule type="expression" dxfId="886" priority="292" stopIfTrue="1">
      <formula>$A1="image"</formula>
    </cfRule>
    <cfRule type="expression" dxfId="885" priority="279" stopIfTrue="1">
      <formula>$A1="enumerator"</formula>
    </cfRule>
    <cfRule type="expression" dxfId="884" priority="296" stopIfTrue="1">
      <formula>OR($A1="date", $A1="datetime", $A1="time")</formula>
    </cfRule>
    <cfRule type="expression" dxfId="883" priority="328" stopIfTrue="1">
      <formula>$A1="begin repeat"</formula>
    </cfRule>
    <cfRule type="expression" dxfId="882" priority="325" stopIfTrue="1">
      <formula>$A1="text"</formula>
    </cfRule>
  </conditionalFormatting>
  <conditionalFormatting sqref="A1:W14 A15:K41 B42 D42:K42 A43:K44 B45:K45 A46:K46 B47:K47 A48:K50 B51:K51 A52:B52 D52:K53 B53 A54:K60 A61:B61 D61:J61 K61:K64 A62 C62:J62 A63:J63 A64:B64 D64:J64 A65:K65 A66:B69 D66:K69 A70:K70 A71:B71 D71:K71 A74:C74 A75:B76 A77:C81 A82:B82 A83:C83 A84:B84 A85:C93 B94:C94 B95:B97 A98:C110 A111:B111 A112:C118 A119 C119 A120:C1048576">
    <cfRule type="expression" dxfId="881" priority="329" stopIfTrue="1">
      <formula>$A1="end group"</formula>
    </cfRule>
    <cfRule type="expression" dxfId="880" priority="309" stopIfTrue="1">
      <formula>OR($A1="username", $A1="phonenumber", $A1="start", $A1="end", $A1="deviceid", $A1="subscriberid", $A1="simserial", $A1="caseid")</formula>
    </cfRule>
    <cfRule type="expression" dxfId="879" priority="326" stopIfTrue="1">
      <formula>$A1="end repeat"</formula>
    </cfRule>
  </conditionalFormatting>
  <conditionalFormatting sqref="B1:B61 B63:B118 B120:B1048576">
    <cfRule type="expression" dxfId="878" priority="284" stopIfTrue="1">
      <formula>$A1="comments"</formula>
    </cfRule>
  </conditionalFormatting>
  <conditionalFormatting sqref="B1:B61 F1:F71 B63:B118 B120:B1048576">
    <cfRule type="expression" dxfId="877" priority="305" stopIfTrue="1">
      <formula>OR($A1="audio audit", $A1="text audit", $A1="speed violations count", $A1="speed violations list", $A1="speed violations audit")</formula>
    </cfRule>
    <cfRule type="expression" dxfId="876" priority="282" stopIfTrue="1">
      <formula>OR(AND(LEFT($A1, 14)="sensor_stream ", LEN($A1)&gt;14, NOT(ISNUMBER(SEARCH(" ", $A1, 15)))), AND(LEFT($A1, 17)="sensor_statistic ", LEN($A1)&gt;17, NOT(ISNUMBER(SEARCH(" ", $A1, 18)))))</formula>
    </cfRule>
  </conditionalFormatting>
  <conditionalFormatting sqref="B62">
    <cfRule type="expression" dxfId="875" priority="271">
      <formula>NOT($A62=$A61)</formula>
    </cfRule>
  </conditionalFormatting>
  <conditionalFormatting sqref="B119">
    <cfRule type="expression" dxfId="874" priority="269">
      <formula>NOT($A119=$A118)</formula>
    </cfRule>
  </conditionalFormatting>
  <conditionalFormatting sqref="B1:C41 B42 B43:C51 B52:B53 B54:C60 B61 C62 B63:C63 B64 B65:C65 B66:B69 B70:C70 B71 B72:C74 B75:B76 B77:C81 B82 B83:C83 B84 B85:C94 B95:B97 B98:C110 B111 B112:C118 C119 B120:C1048576">
    <cfRule type="expression" dxfId="873" priority="303" stopIfTrue="1">
      <formula>OR($A1="geopoint", $A1="geoshape", $A1="geotrace")</formula>
    </cfRule>
    <cfRule type="expression" dxfId="872" priority="301" stopIfTrue="1">
      <formula>$A1="barcode"</formula>
    </cfRule>
    <cfRule type="expression" dxfId="871" priority="289" stopIfTrue="1">
      <formula>OR($A1="audio", $A1="video")</formula>
    </cfRule>
    <cfRule type="expression" dxfId="870" priority="299" stopIfTrue="1">
      <formula>$A1="note"</formula>
    </cfRule>
  </conditionalFormatting>
  <conditionalFormatting sqref="B1:C41 F1:F71 B42 B43:C51 B52:B53 B54:C60 B61 C62 B63:C63 B64 B65:C65 B66:B69 B70:C70 B71 B72:C74 B75:B76 B77:C81 B82 B83:C83 B84 B85:C94 B95:B97 B98:C110 B111 B112:C118 C119 B120:C1048576">
    <cfRule type="expression" dxfId="869" priority="291" stopIfTrue="1">
      <formula>$A1="image"</formula>
    </cfRule>
    <cfRule type="expression" dxfId="868" priority="295" stopIfTrue="1">
      <formula>OR($A1="date", $A1="datetime", $A1="time")</formula>
    </cfRule>
    <cfRule type="expression" dxfId="867" priority="315" stopIfTrue="1">
      <formula>OR(AND(LEFT($A1, 16)="select_multiple ", LEN($A1)&gt;16, NOT(ISNUMBER(SEARCH(" ", $A1, 17)))), AND(LEFT($A1, 11)="select_one ", LEN($A1)&gt;11, NOT(ISNUMBER(SEARCH(" ", $A1, 12)))))</formula>
    </cfRule>
  </conditionalFormatting>
  <conditionalFormatting sqref="B1:C41 F1:F71 I1:I71 B42 B43:C51 B52:B53 B54:C60 B61 C62 B63:C63 B64 B65:C65 B66:B69 B70:C70 B71 B72:C74 B75:B76 B77:C81 B82 B83:C83 B84 B85:C94 B95:B97 B98:C110 B111 B112:C118 C119 B120:C1048576 I171 I175">
    <cfRule type="expression" dxfId="866" priority="330" stopIfTrue="1">
      <formula>$A1="begin group"</formula>
    </cfRule>
  </conditionalFormatting>
  <conditionalFormatting sqref="B72:C73">
    <cfRule type="expression" dxfId="865" priority="244" stopIfTrue="1">
      <formula>$A72="enumerator"</formula>
    </cfRule>
    <cfRule type="expression" dxfId="864" priority="260" stopIfTrue="1">
      <formula>$A72="integer"</formula>
    </cfRule>
    <cfRule type="expression" dxfId="863" priority="258" stopIfTrue="1">
      <formula>$A72="decimal"</formula>
    </cfRule>
    <cfRule type="expression" dxfId="862" priority="262" stopIfTrue="1">
      <formula>$A72="text"</formula>
    </cfRule>
  </conditionalFormatting>
  <conditionalFormatting sqref="B72:C74 B1:C41 B42 B43:C51 B52:B53 B54:C60 B61 C62 B63:C63 B64 B65:C65 B66:B69 B70:C70 B71 B75:B76 B77:C81 B82 B83:C83 B84 B85:C94 B95:B97 B98:C110 B111 B112:C118 C119 B120:C1048576">
    <cfRule type="expression" dxfId="861" priority="274" stopIfTrue="1">
      <formula>$A1="file"</formula>
    </cfRule>
  </conditionalFormatting>
  <conditionalFormatting sqref="B1:D41 F1:F71 B42 D42 B43:D51 B52:B53 D52:D53 B54:D60 B61 D61 C62:D62 B63:D63 B64 D64 B65:D65 B66:B69 D66:D69 B70:D70 B71 D71 B74:C74 B75:B76 B77:C81 B82 B83:C83 B84 B85:C94 B95:B97 B98:C110 B111 B112:C118 C119 B120:C1048576">
    <cfRule type="expression" dxfId="860" priority="278" stopIfTrue="1">
      <formula>$A1="enumerator"</formula>
    </cfRule>
    <cfRule type="expression" dxfId="859" priority="324" stopIfTrue="1">
      <formula>$A1="text"</formula>
    </cfRule>
  </conditionalFormatting>
  <conditionalFormatting sqref="B1:D41 G1:H71 B42 D42 B43:D51 B52:B53 D52:D53 B54:D60 B61 D61 C62:D62 B63:D63 B64 D64 B65:D65 B66:B69 D66:D69 B70:D70 B71 D71 B74:C74 B75:B76 B77:C81 B82 B83:C83 B84 B85:C94 B95:B97 B98:C110 B111 B112:C118 C119 B120:C1048576">
    <cfRule type="expression" dxfId="858" priority="322" stopIfTrue="1">
      <formula>$A1="integer"</formula>
    </cfRule>
    <cfRule type="expression" dxfId="857" priority="320" stopIfTrue="1">
      <formula>$A1="decimal"</formula>
    </cfRule>
  </conditionalFormatting>
  <conditionalFormatting sqref="D72:D76 D79:D88 D98 D104:D107 D110:D122 D125:D132 D135:D138 D142:D153 D156 D158:D159 G72:H76 G79:H88 G98:H98 G104:H107 G110:H122 G125:H132 G135:H138 G142:H153 G156:H156 G158:H159">
    <cfRule type="expression" dxfId="856" priority="4185" stopIfTrue="1">
      <formula>$A74="decimal"</formula>
    </cfRule>
  </conditionalFormatting>
  <conditionalFormatting sqref="D72:D76 F72:F76 D79:D88 F79:F88 D98 F98 D104:D107 F104:F107 D110:D122 F110:F122 D125:D132 F125:F132 D135:D138 F135:F138 D142:D153 F142:F153 D156 F156 D158:D159 F158:F159">
    <cfRule type="expression" dxfId="855" priority="4128" stopIfTrue="1">
      <formula>$A74="text"</formula>
    </cfRule>
  </conditionalFormatting>
  <conditionalFormatting sqref="D72:D76 G72:H76 D79:D88 G79:H88 D98 G98:H98 D104:D107 G104:H107 D110:D122 G110:H122 D125:D132 G125:H132 D135:D138 G135:H138 D142:D153 G142:H153 D156 G156:H156 D158:D159 G158:H159">
    <cfRule type="expression" dxfId="854" priority="4186" stopIfTrue="1">
      <formula>$A74="integer"</formula>
    </cfRule>
  </conditionalFormatting>
  <conditionalFormatting sqref="D77:D78 D89 D108:D109 D133 D154 D157 G77:H78 G89:H89 G108:H109 G133:H133 G154:H154 G157:H157">
    <cfRule type="expression" dxfId="853" priority="4591" stopIfTrue="1">
      <formula>#REF!="decimal"</formula>
    </cfRule>
  </conditionalFormatting>
  <conditionalFormatting sqref="D77:D78 F77:F78 D89 F89 D108:D109 F108:F109 D133 F133 D154 F154 D157 F157">
    <cfRule type="expression" dxfId="852" priority="4580" stopIfTrue="1">
      <formula>#REF!="text"</formula>
    </cfRule>
  </conditionalFormatting>
  <conditionalFormatting sqref="D77:D78 G77:H78 D89 G89:H89 D108:D109 G108:H109 D133 G133:H133 D154 G154:H154 D157 G157:H157">
    <cfRule type="expression" dxfId="851" priority="4592" stopIfTrue="1">
      <formula>#REF!="integer"</formula>
    </cfRule>
  </conditionalFormatting>
  <conditionalFormatting sqref="D90 D134 D155 G90:H90 G134:H134 G155:H155">
    <cfRule type="expression" dxfId="850" priority="5040" stopIfTrue="1">
      <formula>$A91="decimal"</formula>
    </cfRule>
  </conditionalFormatting>
  <conditionalFormatting sqref="D90 F90 D134 F134 D155 F155">
    <cfRule type="expression" dxfId="849" priority="5021" stopIfTrue="1">
      <formula>$A91="text"</formula>
    </cfRule>
  </conditionalFormatting>
  <conditionalFormatting sqref="D90 G90:H90 D134 G134:H134 D155 G155:H155">
    <cfRule type="expression" dxfId="848" priority="5041" stopIfTrue="1">
      <formula>$A91="integer"</formula>
    </cfRule>
  </conditionalFormatting>
  <conditionalFormatting sqref="D91:D93 F91:F93">
    <cfRule type="expression" dxfId="847" priority="5201" stopIfTrue="1">
      <formula>$A98="text"</formula>
    </cfRule>
  </conditionalFormatting>
  <conditionalFormatting sqref="D91:D93 G91:H93">
    <cfRule type="expression" dxfId="846" priority="5208" stopIfTrue="1">
      <formula>$A98="decimal"</formula>
    </cfRule>
    <cfRule type="expression" dxfId="845" priority="5209" stopIfTrue="1">
      <formula>$A98="integer"</formula>
    </cfRule>
  </conditionalFormatting>
  <conditionalFormatting sqref="D94:D97 F94:F97">
    <cfRule type="expression" dxfId="844" priority="5589" stopIfTrue="1">
      <formula>$A104="text"</formula>
    </cfRule>
  </conditionalFormatting>
  <conditionalFormatting sqref="D94:D97 G94:H97">
    <cfRule type="expression" dxfId="843" priority="5596" stopIfTrue="1">
      <formula>$A104="decimal"</formula>
    </cfRule>
    <cfRule type="expression" dxfId="842" priority="5597" stopIfTrue="1">
      <formula>$A104="integer"</formula>
    </cfRule>
  </conditionalFormatting>
  <conditionalFormatting sqref="D99:D103 F99:F103">
    <cfRule type="expression" dxfId="841" priority="5490" stopIfTrue="1">
      <formula>$A104="text"</formula>
    </cfRule>
  </conditionalFormatting>
  <conditionalFormatting sqref="D99:D103 G99:H103">
    <cfRule type="expression" dxfId="840" priority="5501" stopIfTrue="1">
      <formula>$A104="decimal"</formula>
    </cfRule>
    <cfRule type="expression" dxfId="839" priority="5502" stopIfTrue="1">
      <formula>$A104="integer"</formula>
    </cfRule>
  </conditionalFormatting>
  <conditionalFormatting sqref="D139:D141 D160:D1048568 G139:H141 G160:H1048568">
    <cfRule type="expression" dxfId="838" priority="6882" stopIfTrue="1">
      <formula>$A142="decimal"</formula>
    </cfRule>
  </conditionalFormatting>
  <conditionalFormatting sqref="D139:D141 F139:F141 D160:D1048568 F160:F1048568">
    <cfRule type="expression" dxfId="837" priority="6871" stopIfTrue="1">
      <formula>$A142="text"</formula>
    </cfRule>
  </conditionalFormatting>
  <conditionalFormatting sqref="D139:D141 G139:H141 D160:D1048568 G160:H1048568">
    <cfRule type="expression" dxfId="836" priority="6883" stopIfTrue="1">
      <formula>$A142="integer"</formula>
    </cfRule>
  </conditionalFormatting>
  <conditionalFormatting sqref="D1048569:D1048576 F1048569:F1048576">
    <cfRule type="expression" dxfId="835" priority="6627" stopIfTrue="1">
      <formula>$A1="text"</formula>
    </cfRule>
  </conditionalFormatting>
  <conditionalFormatting sqref="D1048569:D1048576 G1048569:H1048576">
    <cfRule type="expression" dxfId="834" priority="6630" stopIfTrue="1">
      <formula>$A1="decimal"</formula>
    </cfRule>
    <cfRule type="expression" dxfId="833" priority="6631" stopIfTrue="1">
      <formula>$A1="integer"</formula>
    </cfRule>
  </conditionalFormatting>
  <conditionalFormatting sqref="D90:H90 J90:K90 D134:K134 D155:K155">
    <cfRule type="expression" dxfId="832" priority="4939" stopIfTrue="1">
      <formula>$A91="decimal"</formula>
    </cfRule>
    <cfRule type="expression" dxfId="831" priority="4900" stopIfTrue="1">
      <formula>OR($A91="geopoint", $A91="geoshape", $A91="geotrace")</formula>
    </cfRule>
    <cfRule type="expression" dxfId="830" priority="4899" stopIfTrue="1">
      <formula>$A91="barcode"</formula>
    </cfRule>
    <cfRule type="expression" dxfId="829" priority="4898" stopIfTrue="1">
      <formula>$A91="note"</formula>
    </cfRule>
    <cfRule type="expression" dxfId="828" priority="4897" stopIfTrue="1">
      <formula>OR($A91="audio", $A91="video")</formula>
    </cfRule>
    <cfRule type="expression" dxfId="827" priority="4896" stopIfTrue="1">
      <formula>$A91="file"</formula>
    </cfRule>
    <cfRule type="expression" dxfId="826" priority="4881" stopIfTrue="1">
      <formula>OR($A91="calculate", $A91="calculate_here")</formula>
    </cfRule>
    <cfRule type="expression" dxfId="825" priority="4937" stopIfTrue="1">
      <formula>OR($A91="audio audit", $A91="text audit", $A91="speed violations count", $A91="speed violations list", $A91="speed violations audit")</formula>
    </cfRule>
    <cfRule type="expression" dxfId="824" priority="4936" stopIfTrue="1">
      <formula>OR($A91="date", $A91="datetime", $A91="time")</formula>
    </cfRule>
    <cfRule type="expression" dxfId="823" priority="4935" stopIfTrue="1">
      <formula>$A91="image"</formula>
    </cfRule>
    <cfRule type="expression" dxfId="822" priority="4934" stopIfTrue="1">
      <formula>OR(AND(LEFT($A91, 14)="sensor_stream ", LEN($A91)&gt;14, NOT(ISNUMBER(SEARCH(" ", $A91, 15)))), AND(LEFT($A91, 17)="sensor_statistic ", LEN($A91)&gt;17, NOT(ISNUMBER(SEARCH(" ", $A91, 18)))))</formula>
    </cfRule>
    <cfRule type="expression" dxfId="821" priority="4974" stopIfTrue="1">
      <formula>$A91="end group"</formula>
    </cfRule>
    <cfRule type="expression" dxfId="820" priority="4973" stopIfTrue="1">
      <formula>$A91="end repeat"</formula>
    </cfRule>
    <cfRule type="expression" dxfId="819" priority="4933" stopIfTrue="1">
      <formula>$A91="enumerator"</formula>
    </cfRule>
    <cfRule type="expression" dxfId="818" priority="4938" stopIfTrue="1">
      <formula>OR(AND(LEFT($A91, 16)="select_multiple ", LEN($A91)&gt;16, NOT(ISNUMBER(SEARCH(" ", $A91, 17)))), AND(LEFT($A91, 11)="select_one ", LEN($A91)&gt;11, NOT(ISNUMBER(SEARCH(" ", $A91, 12)))))</formula>
    </cfRule>
    <cfRule type="expression" dxfId="817" priority="4943" stopIfTrue="1">
      <formula>$A91="begin group"</formula>
    </cfRule>
    <cfRule type="expression" dxfId="816" priority="4942" stopIfTrue="1">
      <formula>$A91="begin repeat"</formula>
    </cfRule>
    <cfRule type="expression" dxfId="815" priority="4941" stopIfTrue="1">
      <formula>$A91="text"</formula>
    </cfRule>
    <cfRule type="expression" dxfId="814" priority="4972" stopIfTrue="1">
      <formula>OR($A91="username", $A91="phonenumber", $A91="start", $A91="end", $A91="deviceid", $A91="subscriberid", $A91="simserial", $A91="caseid")</formula>
    </cfRule>
    <cfRule type="expression" dxfId="813" priority="4940" stopIfTrue="1">
      <formula>$A91="integer"</formula>
    </cfRule>
  </conditionalFormatting>
  <conditionalFormatting sqref="D72:K72 D73:H73 J73:K73 D74:K76 D79:K79 D80:H80 J80:K80 D81:K88 D98:K98 D104:K104 D105:H105 J105:K105 D106:K107 D110:K110 D111:H111 J111:K111 D112:K119 D120:H120 J120:K120 D121:K122 K123:K124 D125:K132 D135:K138 D142:K153 D156:K156 D158:K159">
    <cfRule type="expression" dxfId="812" priority="3473" stopIfTrue="1">
      <formula>$A74="note"</formula>
    </cfRule>
    <cfRule type="expression" dxfId="811" priority="3985" stopIfTrue="1">
      <formula>$A74="end group"</formula>
    </cfRule>
    <cfRule type="expression" dxfId="810" priority="3984" stopIfTrue="1">
      <formula>$A74="end repeat"</formula>
    </cfRule>
    <cfRule type="expression" dxfId="809" priority="3983" stopIfTrue="1">
      <formula>OR($A74="username", $A74="phonenumber", $A74="start", $A74="end", $A74="deviceid", $A74="subscriberid", $A74="simserial", $A74="caseid")</formula>
    </cfRule>
    <cfRule type="expression" dxfId="808" priority="3641" stopIfTrue="1">
      <formula>$A74="begin group"</formula>
    </cfRule>
    <cfRule type="expression" dxfId="807" priority="3632" stopIfTrue="1">
      <formula>OR(AND(LEFT($A74, 14)="sensor_stream ", LEN($A74)&gt;14, NOT(ISNUMBER(SEARCH(" ", $A74, 15)))), AND(LEFT($A74, 17)="sensor_statistic ", LEN($A74)&gt;17, NOT(ISNUMBER(SEARCH(" ", $A74, 18)))))</formula>
    </cfRule>
    <cfRule type="expression" dxfId="806" priority="3640" stopIfTrue="1">
      <formula>$A74="begin repeat"</formula>
    </cfRule>
    <cfRule type="expression" dxfId="805" priority="3408" stopIfTrue="1">
      <formula>OR($A74="calculate", $A74="calculate_here")</formula>
    </cfRule>
    <cfRule type="expression" dxfId="804" priority="3474" stopIfTrue="1">
      <formula>$A74="barcode"</formula>
    </cfRule>
    <cfRule type="expression" dxfId="803" priority="3634" stopIfTrue="1">
      <formula>OR($A74="date", $A74="datetime", $A74="time")</formula>
    </cfRule>
    <cfRule type="expression" dxfId="802" priority="3633" stopIfTrue="1">
      <formula>$A74="image"</formula>
    </cfRule>
    <cfRule type="expression" dxfId="801" priority="3631" stopIfTrue="1">
      <formula>$A74="enumerator"</formula>
    </cfRule>
    <cfRule type="expression" dxfId="800" priority="3475" stopIfTrue="1">
      <formula>OR($A74="geopoint", $A74="geoshape", $A74="geotrace")</formula>
    </cfRule>
    <cfRule type="expression" dxfId="799" priority="3637" stopIfTrue="1">
      <formula>$A74="decimal"</formula>
    </cfRule>
    <cfRule type="expression" dxfId="798" priority="3472" stopIfTrue="1">
      <formula>OR($A74="audio", $A74="video")</formula>
    </cfRule>
    <cfRule type="expression" dxfId="797" priority="3639" stopIfTrue="1">
      <formula>$A74="text"</formula>
    </cfRule>
    <cfRule type="expression" dxfId="796" priority="3636" stopIfTrue="1">
      <formula>OR(AND(LEFT($A74, 16)="select_multiple ", LEN($A74)&gt;16, NOT(ISNUMBER(SEARCH(" ", $A74, 17)))), AND(LEFT($A74, 11)="select_one ", LEN($A74)&gt;11, NOT(ISNUMBER(SEARCH(" ", $A74, 12)))))</formula>
    </cfRule>
    <cfRule type="expression" dxfId="795" priority="3638" stopIfTrue="1">
      <formula>$A74="integer"</formula>
    </cfRule>
    <cfRule type="expression" dxfId="794" priority="3635" stopIfTrue="1">
      <formula>OR($A74="audio audit", $A74="text audit", $A74="speed violations count", $A74="speed violations list", $A74="speed violations audit")</formula>
    </cfRule>
    <cfRule type="expression" dxfId="793" priority="3471" stopIfTrue="1">
      <formula>$A74="file"</formula>
    </cfRule>
  </conditionalFormatting>
  <conditionalFormatting sqref="D72:K72 D74:K76 D79:K79 D81:K88 D98:K98 D104:K104 D106:K107 D110:K110 D112:K119 D121:K122 D125:K132 D135:K138 D142:K153 D156:K156 D158:K159 D73:H73 J73:K73 D80:H80 J80:K80 D105:H105 J105:K105 D111:H111 J111:K111 D120:H120 J120:K120 K123:K124">
    <cfRule type="expression" dxfId="792" priority="3407" stopIfTrue="1">
      <formula>$A74="comments"</formula>
    </cfRule>
  </conditionalFormatting>
  <conditionalFormatting sqref="D77:K78 D89:K89 D108:K109 D133:K133 D154:K154 D157:K157">
    <cfRule type="expression" dxfId="791" priority="4535" stopIfTrue="1">
      <formula>OR(AND(LEFT(#REF!, 14)="sensor_stream ", LEN(#REF!)&gt;14, NOT(ISNUMBER(SEARCH(" ", #REF!, 15)))), AND(LEFT(#REF!, 17)="sensor_statistic ", LEN(#REF!)&gt;17, NOT(ISNUMBER(SEARCH(" ", #REF!, 18)))))</formula>
    </cfRule>
    <cfRule type="expression" dxfId="790" priority="4540" stopIfTrue="1">
      <formula>#REF!="decimal"</formula>
    </cfRule>
    <cfRule type="expression" dxfId="789" priority="4507" stopIfTrue="1">
      <formula>#REF!="file"</formula>
    </cfRule>
    <cfRule type="expression" dxfId="788" priority="4539" stopIfTrue="1">
      <formula>OR(AND(LEFT(#REF!, 16)="select_multiple ", LEN(#REF!)&gt;16, NOT(ISNUMBER(SEARCH(" ", #REF!, 17)))), AND(LEFT(#REF!, 11)="select_one ", LEN(#REF!)&gt;11, NOT(ISNUMBER(SEARCH(" ", #REF!, 12)))))</formula>
    </cfRule>
    <cfRule type="expression" dxfId="787" priority="4538" stopIfTrue="1">
      <formula>OR(#REF!="audio audit", #REF!="text audit", #REF!="speed violations count", #REF!="speed violations list", #REF!="speed violations audit")</formula>
    </cfRule>
    <cfRule type="expression" dxfId="786" priority="4537" stopIfTrue="1">
      <formula>OR(#REF!="date", #REF!="datetime", #REF!="time")</formula>
    </cfRule>
    <cfRule type="expression" dxfId="785" priority="4508" stopIfTrue="1">
      <formula>OR(#REF!="audio", #REF!="video")</formula>
    </cfRule>
    <cfRule type="expression" dxfId="784" priority="4536" stopIfTrue="1">
      <formula>#REF!="image"</formula>
    </cfRule>
    <cfRule type="expression" dxfId="783" priority="4495" stopIfTrue="1">
      <formula>#REF!="comments"</formula>
    </cfRule>
    <cfRule type="expression" dxfId="782" priority="4534" stopIfTrue="1">
      <formula>#REF!="enumerator"</formula>
    </cfRule>
    <cfRule type="expression" dxfId="781" priority="4541" stopIfTrue="1">
      <formula>#REF!="integer"</formula>
    </cfRule>
    <cfRule type="expression" dxfId="780" priority="4542" stopIfTrue="1">
      <formula>#REF!="text"</formula>
    </cfRule>
    <cfRule type="expression" dxfId="779" priority="4496" stopIfTrue="1">
      <formula>OR(#REF!="calculate", #REF!="calculate_here")</formula>
    </cfRule>
    <cfRule type="expression" dxfId="778" priority="4509" stopIfTrue="1">
      <formula>#REF!="note"</formula>
    </cfRule>
    <cfRule type="expression" dxfId="777" priority="4510" stopIfTrue="1">
      <formula>#REF!="barcode"</formula>
    </cfRule>
    <cfRule type="expression" dxfId="776" priority="4511" stopIfTrue="1">
      <formula>OR(#REF!="geopoint", #REF!="geoshape", #REF!="geotrace")</formula>
    </cfRule>
    <cfRule type="expression" dxfId="775" priority="4553" stopIfTrue="1">
      <formula>#REF!="end group"</formula>
    </cfRule>
    <cfRule type="expression" dxfId="774" priority="4552" stopIfTrue="1">
      <formula>#REF!="end repeat"</formula>
    </cfRule>
    <cfRule type="expression" dxfId="773" priority="4551" stopIfTrue="1">
      <formula>OR(#REF!="username", #REF!="phonenumber", #REF!="start", #REF!="end", #REF!="deviceid", #REF!="subscriberid", #REF!="simserial", #REF!="caseid")</formula>
    </cfRule>
    <cfRule type="expression" dxfId="772" priority="4544" stopIfTrue="1">
      <formula>#REF!="begin group"</formula>
    </cfRule>
    <cfRule type="expression" dxfId="771" priority="4543" stopIfTrue="1">
      <formula>#REF!="begin repeat"</formula>
    </cfRule>
  </conditionalFormatting>
  <conditionalFormatting sqref="D91:K92 D93:H93 J93:K93">
    <cfRule type="expression" dxfId="770" priority="5518" stopIfTrue="1">
      <formula>$A98="barcode"</formula>
    </cfRule>
    <cfRule type="expression" dxfId="769" priority="5517" stopIfTrue="1">
      <formula>$A98="note"</formula>
    </cfRule>
    <cfRule type="expression" dxfId="768" priority="5516" stopIfTrue="1">
      <formula>OR($A98="audio", $A98="video")</formula>
    </cfRule>
    <cfRule type="expression" dxfId="767" priority="5515" stopIfTrue="1">
      <formula>$A98="file"</formula>
    </cfRule>
    <cfRule type="expression" dxfId="766" priority="5510" stopIfTrue="1">
      <formula>OR($A98="calculate", $A98="calculate_here")</formula>
    </cfRule>
    <cfRule type="expression" dxfId="765" priority="5509" stopIfTrue="1">
      <formula>$A98="comments"</formula>
    </cfRule>
    <cfRule type="expression" dxfId="764" priority="5530" stopIfTrue="1">
      <formula>$A98="enumerator"</formula>
    </cfRule>
    <cfRule type="expression" dxfId="763" priority="5565" stopIfTrue="1">
      <formula>$A98="end group"</formula>
    </cfRule>
    <cfRule type="expression" dxfId="762" priority="5564" stopIfTrue="1">
      <formula>$A98="end repeat"</formula>
    </cfRule>
    <cfRule type="expression" dxfId="761" priority="5563" stopIfTrue="1">
      <formula>OR($A98="username", $A98="phonenumber", $A98="start", $A98="end", $A98="deviceid", $A98="subscriberid", $A98="simserial", $A98="caseid")</formula>
    </cfRule>
    <cfRule type="expression" dxfId="760" priority="5540" stopIfTrue="1">
      <formula>$A98="begin group"</formula>
    </cfRule>
    <cfRule type="expression" dxfId="759" priority="5539" stopIfTrue="1">
      <formula>$A98="begin repeat"</formula>
    </cfRule>
    <cfRule type="expression" dxfId="758" priority="5538" stopIfTrue="1">
      <formula>$A98="text"</formula>
    </cfRule>
    <cfRule type="expression" dxfId="757" priority="5537" stopIfTrue="1">
      <formula>$A98="integer"</formula>
    </cfRule>
    <cfRule type="expression" dxfId="756" priority="5536" stopIfTrue="1">
      <formula>$A98="decimal"</formula>
    </cfRule>
    <cfRule type="expression" dxfId="755" priority="5535" stopIfTrue="1">
      <formula>OR(AND(LEFT($A98, 16)="select_multiple ", LEN($A98)&gt;16, NOT(ISNUMBER(SEARCH(" ", $A98, 17)))), AND(LEFT($A98, 11)="select_one ", LEN($A98)&gt;11, NOT(ISNUMBER(SEARCH(" ", $A98, 12)))))</formula>
    </cfRule>
    <cfRule type="expression" dxfId="754" priority="5534" stopIfTrue="1">
      <formula>OR($A98="audio audit", $A98="text audit", $A98="speed violations count", $A98="speed violations list", $A98="speed violations audit")</formula>
    </cfRule>
    <cfRule type="expression" dxfId="753" priority="5533" stopIfTrue="1">
      <formula>OR($A98="date", $A98="datetime", $A98="time")</formula>
    </cfRule>
    <cfRule type="expression" dxfId="752" priority="5532" stopIfTrue="1">
      <formula>$A98="image"</formula>
    </cfRule>
    <cfRule type="expression" dxfId="751" priority="5531" stopIfTrue="1">
      <formula>OR(AND(LEFT($A98, 14)="sensor_stream ", LEN($A98)&gt;14, NOT(ISNUMBER(SEARCH(" ", $A98, 15)))), AND(LEFT($A98, 17)="sensor_statistic ", LEN($A98)&gt;17, NOT(ISNUMBER(SEARCH(" ", $A98, 18)))))</formula>
    </cfRule>
    <cfRule type="expression" dxfId="750" priority="5519" stopIfTrue="1">
      <formula>OR($A98="geopoint", $A98="geoshape", $A98="geotrace")</formula>
    </cfRule>
  </conditionalFormatting>
  <conditionalFormatting sqref="D94:K95 D96:H97 J96:K97">
    <cfRule type="expression" dxfId="749" priority="5161" stopIfTrue="1">
      <formula>OR($A104="date", $A104="datetime", $A104="time")</formula>
    </cfRule>
    <cfRule type="expression" dxfId="748" priority="5160" stopIfTrue="1">
      <formula>$A104="image"</formula>
    </cfRule>
    <cfRule type="expression" dxfId="747" priority="5159" stopIfTrue="1">
      <formula>OR(AND(LEFT($A104, 14)="sensor_stream ", LEN($A104)&gt;14, NOT(ISNUMBER(SEARCH(" ", $A104, 15)))), AND(LEFT($A104, 17)="sensor_statistic ", LEN($A104)&gt;17, NOT(ISNUMBER(SEARCH(" ", $A104, 18)))))</formula>
    </cfRule>
    <cfRule type="expression" dxfId="746" priority="5180" stopIfTrue="1">
      <formula>OR($A104="username", $A104="phonenumber", $A104="start", $A104="end", $A104="deviceid", $A104="subscriberid", $A104="simserial", $A104="caseid")</formula>
    </cfRule>
    <cfRule type="expression" dxfId="745" priority="5151" stopIfTrue="1">
      <formula>$A104="barcode"</formula>
    </cfRule>
    <cfRule type="expression" dxfId="744" priority="5181" stopIfTrue="1">
      <formula>$A104="end repeat"</formula>
    </cfRule>
    <cfRule type="expression" dxfId="743" priority="5163" stopIfTrue="1">
      <formula>OR(AND(LEFT($A104, 16)="select_multiple ", LEN($A104)&gt;16, NOT(ISNUMBER(SEARCH(" ", $A104, 17)))), AND(LEFT($A104, 11)="select_one ", LEN($A104)&gt;11, NOT(ISNUMBER(SEARCH(" ", $A104, 12)))))</formula>
    </cfRule>
    <cfRule type="expression" dxfId="742" priority="5158" stopIfTrue="1">
      <formula>$A104="enumerator"</formula>
    </cfRule>
    <cfRule type="expression" dxfId="741" priority="5164" stopIfTrue="1">
      <formula>$A104="decimal"</formula>
    </cfRule>
    <cfRule type="expression" dxfId="740" priority="5165" stopIfTrue="1">
      <formula>$A104="integer"</formula>
    </cfRule>
    <cfRule type="expression" dxfId="739" priority="5162" stopIfTrue="1">
      <formula>OR($A104="audio audit", $A104="text audit", $A104="speed violations count", $A104="speed violations list", $A104="speed violations audit")</formula>
    </cfRule>
    <cfRule type="expression" dxfId="738" priority="5166" stopIfTrue="1">
      <formula>$A104="text"</formula>
    </cfRule>
    <cfRule type="expression" dxfId="737" priority="5152" stopIfTrue="1">
      <formula>OR($A104="geopoint", $A104="geoshape", $A104="geotrace")</formula>
    </cfRule>
    <cfRule type="expression" dxfId="736" priority="5144" stopIfTrue="1">
      <formula>$A104="comments"</formula>
    </cfRule>
    <cfRule type="expression" dxfId="735" priority="5182" stopIfTrue="1">
      <formula>$A104="end group"</formula>
    </cfRule>
    <cfRule type="expression" dxfId="734" priority="5145" stopIfTrue="1">
      <formula>OR($A104="calculate", $A104="calculate_here")</formula>
    </cfRule>
    <cfRule type="expression" dxfId="733" priority="5148" stopIfTrue="1">
      <formula>$A104="file"</formula>
    </cfRule>
    <cfRule type="expression" dxfId="732" priority="5149" stopIfTrue="1">
      <formula>OR($A104="audio", $A104="video")</formula>
    </cfRule>
    <cfRule type="expression" dxfId="731" priority="5150" stopIfTrue="1">
      <formula>$A104="note"</formula>
    </cfRule>
    <cfRule type="expression" dxfId="730" priority="5167" stopIfTrue="1">
      <formula>$A104="begin repeat"</formula>
    </cfRule>
    <cfRule type="expression" dxfId="729" priority="5168" stopIfTrue="1">
      <formula>$A104="begin group"</formula>
    </cfRule>
  </conditionalFormatting>
  <conditionalFormatting sqref="D99:K101 D102:H103 J102:K103">
    <cfRule type="expression" dxfId="728" priority="5421" stopIfTrue="1">
      <formula>OR($A104="geopoint", $A104="geoshape", $A104="geotrace")</formula>
    </cfRule>
    <cfRule type="expression" dxfId="727" priority="5462" stopIfTrue="1">
      <formula>$A104="end repeat"</formula>
    </cfRule>
    <cfRule type="expression" dxfId="726" priority="5405" stopIfTrue="1">
      <formula>$A104="comments"</formula>
    </cfRule>
    <cfRule type="expression" dxfId="725" priority="5406" stopIfTrue="1">
      <formula>OR($A104="calculate", $A104="calculate_here")</formula>
    </cfRule>
    <cfRule type="expression" dxfId="724" priority="5417" stopIfTrue="1">
      <formula>$A104="file"</formula>
    </cfRule>
    <cfRule type="expression" dxfId="723" priority="5418" stopIfTrue="1">
      <formula>OR($A104="audio", $A104="video")</formula>
    </cfRule>
    <cfRule type="expression" dxfId="722" priority="5420" stopIfTrue="1">
      <formula>$A104="barcode"</formula>
    </cfRule>
    <cfRule type="expression" dxfId="721" priority="5450" stopIfTrue="1">
      <formula>$A104="decimal"</formula>
    </cfRule>
    <cfRule type="expression" dxfId="720" priority="5444" stopIfTrue="1">
      <formula>$A104="enumerator"</formula>
    </cfRule>
    <cfRule type="expression" dxfId="719" priority="5445" stopIfTrue="1">
      <formula>OR(AND(LEFT($A104, 14)="sensor_stream ", LEN($A104)&gt;14, NOT(ISNUMBER(SEARCH(" ", $A104, 15)))), AND(LEFT($A104, 17)="sensor_statistic ", LEN($A104)&gt;17, NOT(ISNUMBER(SEARCH(" ", $A104, 18)))))</formula>
    </cfRule>
    <cfRule type="expression" dxfId="718" priority="5446" stopIfTrue="1">
      <formula>$A104="image"</formula>
    </cfRule>
    <cfRule type="expression" dxfId="717" priority="5447" stopIfTrue="1">
      <formula>OR($A104="date", $A104="datetime", $A104="time")</formula>
    </cfRule>
    <cfRule type="expression" dxfId="716" priority="5448" stopIfTrue="1">
      <formula>OR($A104="audio audit", $A104="text audit", $A104="speed violations count", $A104="speed violations list", $A104="speed violations audit")</formula>
    </cfRule>
    <cfRule type="expression" dxfId="715" priority="5449" stopIfTrue="1">
      <formula>OR(AND(LEFT($A104, 16)="select_multiple ", LEN($A104)&gt;16, NOT(ISNUMBER(SEARCH(" ", $A104, 17)))), AND(LEFT($A104, 11)="select_one ", LEN($A104)&gt;11, NOT(ISNUMBER(SEARCH(" ", $A104, 12)))))</formula>
    </cfRule>
    <cfRule type="expression" dxfId="714" priority="5463" stopIfTrue="1">
      <formula>$A104="end group"</formula>
    </cfRule>
    <cfRule type="expression" dxfId="713" priority="5451" stopIfTrue="1">
      <formula>$A104="integer"</formula>
    </cfRule>
    <cfRule type="expression" dxfId="712" priority="5452" stopIfTrue="1">
      <formula>$A104="text"</formula>
    </cfRule>
    <cfRule type="expression" dxfId="711" priority="5453" stopIfTrue="1">
      <formula>$A104="begin repeat"</formula>
    </cfRule>
    <cfRule type="expression" dxfId="710" priority="5454" stopIfTrue="1">
      <formula>$A104="begin group"</formula>
    </cfRule>
    <cfRule type="expression" dxfId="709" priority="5419" stopIfTrue="1">
      <formula>$A104="note"</formula>
    </cfRule>
    <cfRule type="expression" dxfId="708" priority="5461" stopIfTrue="1">
      <formula>OR($A104="username", $A104="phonenumber", $A104="start", $A104="end", $A104="deviceid", $A104="subscriberid", $A104="simserial", $A104="caseid")</formula>
    </cfRule>
  </conditionalFormatting>
  <conditionalFormatting sqref="D134:K134 D155:K155 D90:H90 J90:K90">
    <cfRule type="expression" dxfId="707" priority="4880" stopIfTrue="1">
      <formula>$A91="comments"</formula>
    </cfRule>
  </conditionalFormatting>
  <conditionalFormatting sqref="D1048569:K1048576">
    <cfRule type="expression" dxfId="706" priority="6618" stopIfTrue="1">
      <formula>$A1="end group"</formula>
    </cfRule>
    <cfRule type="expression" dxfId="705" priority="6602" stopIfTrue="1">
      <formula>$A1="note"</formula>
    </cfRule>
    <cfRule type="expression" dxfId="704" priority="6601" stopIfTrue="1">
      <formula>OR($A1="audio", $A1="video")</formula>
    </cfRule>
    <cfRule type="expression" dxfId="703" priority="6600" stopIfTrue="1">
      <formula>$A1="file"</formula>
    </cfRule>
    <cfRule type="expression" dxfId="702" priority="6599" stopIfTrue="1">
      <formula>OR($A1="calculate", $A1="calculate_here")</formula>
    </cfRule>
    <cfRule type="expression" dxfId="701" priority="6598" stopIfTrue="1">
      <formula>$A1="comments"</formula>
    </cfRule>
    <cfRule type="expression" dxfId="700" priority="6607" stopIfTrue="1">
      <formula>$A1="image"</formula>
    </cfRule>
    <cfRule type="expression" dxfId="699" priority="6604" stopIfTrue="1">
      <formula>OR($A1="geopoint", $A1="geoshape", $A1="geotrace")</formula>
    </cfRule>
    <cfRule type="expression" dxfId="698" priority="6617" stopIfTrue="1">
      <formula>$A1="end repeat"</formula>
    </cfRule>
    <cfRule type="expression" dxfId="697" priority="6616" stopIfTrue="1">
      <formula>OR($A1="username", $A1="phonenumber", $A1="start", $A1="end", $A1="deviceid", $A1="subscriberid", $A1="simserial", $A1="caseid")</formula>
    </cfRule>
    <cfRule type="expression" dxfId="696" priority="6615" stopIfTrue="1">
      <formula>$A1="begin group"</formula>
    </cfRule>
    <cfRule type="expression" dxfId="695" priority="6610" stopIfTrue="1">
      <formula>OR(AND(LEFT($A1, 16)="select_multiple ", LEN($A1)&gt;16, NOT(ISNUMBER(SEARCH(" ", $A1, 17)))), AND(LEFT($A1, 11)="select_one ", LEN($A1)&gt;11, NOT(ISNUMBER(SEARCH(" ", $A1, 12)))))</formula>
    </cfRule>
    <cfRule type="expression" dxfId="694" priority="6614" stopIfTrue="1">
      <formula>$A1="begin repeat"</formula>
    </cfRule>
    <cfRule type="expression" dxfId="693" priority="6613" stopIfTrue="1">
      <formula>$A1="text"</formula>
    </cfRule>
    <cfRule type="expression" dxfId="692" priority="6612" stopIfTrue="1">
      <formula>$A1="integer"</formula>
    </cfRule>
    <cfRule type="expression" dxfId="691" priority="6611" stopIfTrue="1">
      <formula>$A1="decimal"</formula>
    </cfRule>
    <cfRule type="expression" dxfId="690" priority="6609" stopIfTrue="1">
      <formula>OR($A1="audio audit", $A1="text audit", $A1="speed violations count", $A1="speed violations list", $A1="speed violations audit")</formula>
    </cfRule>
    <cfRule type="expression" dxfId="689" priority="6608" stopIfTrue="1">
      <formula>OR($A1="date", $A1="datetime", $A1="time")</formula>
    </cfRule>
    <cfRule type="expression" dxfId="688" priority="6606" stopIfTrue="1">
      <formula>OR(AND(LEFT($A1, 14)="sensor_stream ", LEN($A1)&gt;14, NOT(ISNUMBER(SEARCH(" ", $A1, 15)))), AND(LEFT($A1, 17)="sensor_statistic ", LEN($A1)&gt;17, NOT(ISNUMBER(SEARCH(" ", $A1, 18)))))</formula>
    </cfRule>
    <cfRule type="expression" dxfId="687" priority="6605" stopIfTrue="1">
      <formula>$A1="enumerator"</formula>
    </cfRule>
    <cfRule type="expression" dxfId="686" priority="6603" stopIfTrue="1">
      <formula>$A1="barcode"</formula>
    </cfRule>
  </conditionalFormatting>
  <conditionalFormatting sqref="F72:F76 F79:F88 F98 F104:F107 F110:F122 F125:F132 F135:F138 F142:F153 F156 F158:F159 D72:D76 D79:D88 D98 D104:D107 D110:D122 D125:D132 D135:D138 D142:D153 D156 D158:D159">
    <cfRule type="expression" dxfId="685" priority="4127" stopIfTrue="1">
      <formula>$A74="enumerator"</formula>
    </cfRule>
  </conditionalFormatting>
  <conditionalFormatting sqref="F72:F76 F79:F88 F98 F104:F107 F110:F122 F125:F132 F135:F138 F142:F153 F156 F158:F159 I72 I74:I76 I79 I81:I88 I98 I104 I106:I107 I110 I112:I119 I121:I122 I125:I132 I135:I138 I142:I153 I156 I158:I159">
    <cfRule type="expression" dxfId="684" priority="4119" stopIfTrue="1">
      <formula>$A74="begin group"</formula>
    </cfRule>
  </conditionalFormatting>
  <conditionalFormatting sqref="F72:F76 F79:F88 F98 F104:F107 F110:F122 F125:F132 F135:F138 F142:F153 F156 F158:F159">
    <cfRule type="expression" dxfId="683" priority="4086" stopIfTrue="1">
      <formula>OR(AND(LEFT($A74, 14)="sensor_stream ", LEN($A74)&gt;14, NOT(ISNUMBER(SEARCH(" ", $A74, 15)))), AND(LEFT($A74, 17)="sensor_statistic ", LEN($A74)&gt;17, NOT(ISNUMBER(SEARCH(" ", $A74, 18)))))</formula>
    </cfRule>
    <cfRule type="expression" dxfId="682" priority="4104" stopIfTrue="1">
      <formula>$A74="image"</formula>
    </cfRule>
    <cfRule type="expression" dxfId="681" priority="4106" stopIfTrue="1">
      <formula>OR(AND(LEFT($A74, 16)="select_multiple ", LEN($A74)&gt;16, NOT(ISNUMBER(SEARCH(" ", $A74, 17)))), AND(LEFT($A74, 11)="select_one ", LEN($A74)&gt;11, NOT(ISNUMBER(SEARCH(" ", $A74, 12)))))</formula>
    </cfRule>
    <cfRule type="expression" dxfId="680" priority="4105" stopIfTrue="1">
      <formula>OR($A74="date", $A74="datetime", $A74="time")</formula>
    </cfRule>
    <cfRule type="expression" dxfId="679" priority="4087" stopIfTrue="1">
      <formula>OR($A74="audio audit", $A74="text audit", $A74="speed violations count", $A74="speed violations list", $A74="speed violations audit")</formula>
    </cfRule>
  </conditionalFormatting>
  <conditionalFormatting sqref="F77:F78 F89 F108:F109 F133 F154 F157 D77:D78 D89 D108:D109 D133 D154 D157">
    <cfRule type="expression" dxfId="678" priority="4579" stopIfTrue="1">
      <formula>#REF!="enumerator"</formula>
    </cfRule>
  </conditionalFormatting>
  <conditionalFormatting sqref="F77:F78 F89 F108:F109 F133 F154 F157 I77:I78 I89 I108:I109 I133 I154 I157">
    <cfRule type="expression" dxfId="677" priority="4571" stopIfTrue="1">
      <formula>#REF!="begin group"</formula>
    </cfRule>
  </conditionalFormatting>
  <conditionalFormatting sqref="F77:F78 F89 F108:F109 F133 F154 F157">
    <cfRule type="expression" dxfId="676" priority="4558" stopIfTrue="1">
      <formula>OR(AND(LEFT(#REF!, 14)="sensor_stream ", LEN(#REF!)&gt;14, NOT(ISNUMBER(SEARCH(" ", #REF!, 15)))), AND(LEFT(#REF!, 17)="sensor_statistic ", LEN(#REF!)&gt;17, NOT(ISNUMBER(SEARCH(" ", #REF!, 18)))))</formula>
    </cfRule>
    <cfRule type="expression" dxfId="675" priority="4559" stopIfTrue="1">
      <formula>OR(#REF!="audio audit", #REF!="text audit", #REF!="speed violations count", #REF!="speed violations list", #REF!="speed violations audit")</formula>
    </cfRule>
    <cfRule type="expression" dxfId="674" priority="4567" stopIfTrue="1">
      <formula>OR(#REF!="date", #REF!="datetime", #REF!="time")</formula>
    </cfRule>
    <cfRule type="expression" dxfId="673" priority="4568" stopIfTrue="1">
      <formula>OR(AND(LEFT(#REF!, 16)="select_multiple ", LEN(#REF!)&gt;16, NOT(ISNUMBER(SEARCH(" ", #REF!, 17)))), AND(LEFT(#REF!, 11)="select_one ", LEN(#REF!)&gt;11, NOT(ISNUMBER(SEARCH(" ", #REF!, 12)))))</formula>
    </cfRule>
    <cfRule type="expression" dxfId="672" priority="4566" stopIfTrue="1">
      <formula>#REF!="image"</formula>
    </cfRule>
  </conditionalFormatting>
  <conditionalFormatting sqref="F90 F134 F155 D90 D134 D155">
    <cfRule type="expression" dxfId="671" priority="5020" stopIfTrue="1">
      <formula>$A91="enumerator"</formula>
    </cfRule>
  </conditionalFormatting>
  <conditionalFormatting sqref="F90 F134 F155 I134 I155">
    <cfRule type="expression" dxfId="670" priority="5008" stopIfTrue="1">
      <formula>$A91="begin group"</formula>
    </cfRule>
  </conditionalFormatting>
  <conditionalFormatting sqref="F90 F134 F155">
    <cfRule type="expression" dxfId="669" priority="4986" stopIfTrue="1">
      <formula>OR($A91="audio audit", $A91="text audit", $A91="speed violations count", $A91="speed violations list", $A91="speed violations audit")</formula>
    </cfRule>
    <cfRule type="expression" dxfId="668" priority="4985" stopIfTrue="1">
      <formula>OR(AND(LEFT($A91, 14)="sensor_stream ", LEN($A91)&gt;14, NOT(ISNUMBER(SEARCH(" ", $A91, 15)))), AND(LEFT($A91, 17)="sensor_statistic ", LEN($A91)&gt;17, NOT(ISNUMBER(SEARCH(" ", $A91, 18)))))</formula>
    </cfRule>
    <cfRule type="expression" dxfId="667" priority="4999" stopIfTrue="1">
      <formula>OR(AND(LEFT($A91, 16)="select_multiple ", LEN($A91)&gt;16, NOT(ISNUMBER(SEARCH(" ", $A91, 17)))), AND(LEFT($A91, 11)="select_one ", LEN($A91)&gt;11, NOT(ISNUMBER(SEARCH(" ", $A91, 12)))))</formula>
    </cfRule>
    <cfRule type="expression" dxfId="666" priority="4998" stopIfTrue="1">
      <formula>OR($A91="date", $A91="datetime", $A91="time")</formula>
    </cfRule>
    <cfRule type="expression" dxfId="665" priority="4997" stopIfTrue="1">
      <formula>$A91="image"</formula>
    </cfRule>
  </conditionalFormatting>
  <conditionalFormatting sqref="F91:F93 D91:D93">
    <cfRule type="expression" dxfId="664" priority="5200" stopIfTrue="1">
      <formula>$A98="enumerator"</formula>
    </cfRule>
  </conditionalFormatting>
  <conditionalFormatting sqref="F91:F93 I91:I92">
    <cfRule type="expression" dxfId="663" priority="5196" stopIfTrue="1">
      <formula>$A98="begin group"</formula>
    </cfRule>
  </conditionalFormatting>
  <conditionalFormatting sqref="F91:F93">
    <cfRule type="expression" dxfId="662" priority="5192" stopIfTrue="1">
      <formula>OR(AND(LEFT($A98, 16)="select_multiple ", LEN($A98)&gt;16, NOT(ISNUMBER(SEARCH(" ", $A98, 17)))), AND(LEFT($A98, 11)="select_one ", LEN($A98)&gt;11, NOT(ISNUMBER(SEARCH(" ", $A98, 12)))))</formula>
    </cfRule>
    <cfRule type="expression" dxfId="661" priority="5186" stopIfTrue="1">
      <formula>OR(AND(LEFT($A98, 14)="sensor_stream ", LEN($A98)&gt;14, NOT(ISNUMBER(SEARCH(" ", $A98, 15)))), AND(LEFT($A98, 17)="sensor_statistic ", LEN($A98)&gt;17, NOT(ISNUMBER(SEARCH(" ", $A98, 18)))))</formula>
    </cfRule>
    <cfRule type="expression" dxfId="660" priority="5187" stopIfTrue="1">
      <formula>OR($A98="audio audit", $A98="text audit", $A98="speed violations count", $A98="speed violations list", $A98="speed violations audit")</formula>
    </cfRule>
    <cfRule type="expression" dxfId="659" priority="5190" stopIfTrue="1">
      <formula>$A98="image"</formula>
    </cfRule>
    <cfRule type="expression" dxfId="658" priority="5191" stopIfTrue="1">
      <formula>OR($A98="date", $A98="datetime", $A98="time")</formula>
    </cfRule>
  </conditionalFormatting>
  <conditionalFormatting sqref="F94:F97 D94:D97">
    <cfRule type="expression" dxfId="657" priority="5588" stopIfTrue="1">
      <formula>$A104="enumerator"</formula>
    </cfRule>
  </conditionalFormatting>
  <conditionalFormatting sqref="F94:F97 I94:I95">
    <cfRule type="expression" dxfId="656" priority="5583" stopIfTrue="1">
      <formula>$A104="begin group"</formula>
    </cfRule>
  </conditionalFormatting>
  <conditionalFormatting sqref="F94:F97">
    <cfRule type="expression" dxfId="655" priority="5579" stopIfTrue="1">
      <formula>$A104="image"</formula>
    </cfRule>
    <cfRule type="expression" dxfId="654" priority="5574" stopIfTrue="1">
      <formula>OR(AND(LEFT($A104, 14)="sensor_stream ", LEN($A104)&gt;14, NOT(ISNUMBER(SEARCH(" ", $A104, 15)))), AND(LEFT($A104, 17)="sensor_statistic ", LEN($A104)&gt;17, NOT(ISNUMBER(SEARCH(" ", $A104, 18)))))</formula>
    </cfRule>
    <cfRule type="expression" dxfId="653" priority="5581" stopIfTrue="1">
      <formula>OR(AND(LEFT($A104, 16)="select_multiple ", LEN($A104)&gt;16, NOT(ISNUMBER(SEARCH(" ", $A104, 17)))), AND(LEFT($A104, 11)="select_one ", LEN($A104)&gt;11, NOT(ISNUMBER(SEARCH(" ", $A104, 12)))))</formula>
    </cfRule>
    <cfRule type="expression" dxfId="652" priority="5575" stopIfTrue="1">
      <formula>OR($A104="audio audit", $A104="text audit", $A104="speed violations count", $A104="speed violations list", $A104="speed violations audit")</formula>
    </cfRule>
    <cfRule type="expression" dxfId="651" priority="5580" stopIfTrue="1">
      <formula>OR($A104="date", $A104="datetime", $A104="time")</formula>
    </cfRule>
  </conditionalFormatting>
  <conditionalFormatting sqref="F99:F103 D99:D103">
    <cfRule type="expression" dxfId="650" priority="5489" stopIfTrue="1">
      <formula>$A104="enumerator"</formula>
    </cfRule>
  </conditionalFormatting>
  <conditionalFormatting sqref="F99:F103 I99:I101">
    <cfRule type="expression" dxfId="649" priority="5481" stopIfTrue="1">
      <formula>$A104="begin group"</formula>
    </cfRule>
  </conditionalFormatting>
  <conditionalFormatting sqref="F99:F103">
    <cfRule type="expression" dxfId="648" priority="5478" stopIfTrue="1">
      <formula>OR(AND(LEFT($A104, 16)="select_multiple ", LEN($A104)&gt;16, NOT(ISNUMBER(SEARCH(" ", $A104, 17)))), AND(LEFT($A104, 11)="select_one ", LEN($A104)&gt;11, NOT(ISNUMBER(SEARCH(" ", $A104, 12)))))</formula>
    </cfRule>
    <cfRule type="expression" dxfId="647" priority="5468" stopIfTrue="1">
      <formula>OR(AND(LEFT($A104, 14)="sensor_stream ", LEN($A104)&gt;14, NOT(ISNUMBER(SEARCH(" ", $A104, 15)))), AND(LEFT($A104, 17)="sensor_statistic ", LEN($A104)&gt;17, NOT(ISNUMBER(SEARCH(" ", $A104, 18)))))</formula>
    </cfRule>
    <cfRule type="expression" dxfId="646" priority="5469" stopIfTrue="1">
      <formula>OR($A104="audio audit", $A104="text audit", $A104="speed violations count", $A104="speed violations list", $A104="speed violations audit")</formula>
    </cfRule>
    <cfRule type="expression" dxfId="645" priority="5476" stopIfTrue="1">
      <formula>$A104="image"</formula>
    </cfRule>
    <cfRule type="expression" dxfId="644" priority="5477" stopIfTrue="1">
      <formula>OR($A104="date", $A104="datetime", $A104="time")</formula>
    </cfRule>
  </conditionalFormatting>
  <conditionalFormatting sqref="F139:F141 F160:F1048568 D139:D141 D160:D1048568">
    <cfRule type="expression" dxfId="643" priority="6870" stopIfTrue="1">
      <formula>$A142="enumerator"</formula>
    </cfRule>
  </conditionalFormatting>
  <conditionalFormatting sqref="F139:F141 F160:F1048568">
    <cfRule type="expression" dxfId="642" priority="6858" stopIfTrue="1">
      <formula>OR($A142="date", $A142="datetime", $A142="time")</formula>
    </cfRule>
    <cfRule type="expression" dxfId="641" priority="6857" stopIfTrue="1">
      <formula>$A142="image"</formula>
    </cfRule>
    <cfRule type="expression" dxfId="640" priority="6850" stopIfTrue="1">
      <formula>OR($A142="audio audit", $A142="text audit", $A142="speed violations count", $A142="speed violations list", $A142="speed violations audit")</formula>
    </cfRule>
    <cfRule type="expression" dxfId="639" priority="6849" stopIfTrue="1">
      <formula>OR(AND(LEFT($A142, 14)="sensor_stream ", LEN($A142)&gt;14, NOT(ISNUMBER(SEARCH(" ", $A142, 15)))), AND(LEFT($A142, 17)="sensor_statistic ", LEN($A142)&gt;17, NOT(ISNUMBER(SEARCH(" ", $A142, 18)))))</formula>
    </cfRule>
    <cfRule type="expression" dxfId="638" priority="6859" stopIfTrue="1">
      <formula>OR(AND(LEFT($A142, 16)="select_multiple ", LEN($A142)&gt;16, NOT(ISNUMBER(SEARCH(" ", $A142, 17)))), AND(LEFT($A142, 11)="select_one ", LEN($A142)&gt;11, NOT(ISNUMBER(SEARCH(" ", $A142, 12)))))</formula>
    </cfRule>
  </conditionalFormatting>
  <conditionalFormatting sqref="F1048569:F1048576 D1048569:D1048576">
    <cfRule type="expression" dxfId="637" priority="6626" stopIfTrue="1">
      <formula>$A1="enumerator"</formula>
    </cfRule>
  </conditionalFormatting>
  <conditionalFormatting sqref="F1048569:F1048576 I1048569:I1048576">
    <cfRule type="expression" dxfId="636" priority="6624" stopIfTrue="1">
      <formula>$A1="begin group"</formula>
    </cfRule>
  </conditionalFormatting>
  <conditionalFormatting sqref="F1048569:F1048576">
    <cfRule type="expression" dxfId="635" priority="6619" stopIfTrue="1">
      <formula>OR(AND(LEFT($A1, 14)="sensor_stream ", LEN($A1)&gt;14, NOT(ISNUMBER(SEARCH(" ", $A1, 15)))), AND(LEFT($A1, 17)="sensor_statistic ", LEN($A1)&gt;17, NOT(ISNUMBER(SEARCH(" ", $A1, 18)))))</formula>
    </cfRule>
    <cfRule type="expression" dxfId="634" priority="6620" stopIfTrue="1">
      <formula>OR($A1="audio audit", $A1="text audit", $A1="speed violations count", $A1="speed violations list", $A1="speed violations audit")</formula>
    </cfRule>
    <cfRule type="expression" dxfId="633" priority="6621" stopIfTrue="1">
      <formula>$A1="image"</formula>
    </cfRule>
    <cfRule type="expression" dxfId="632" priority="6622" stopIfTrue="1">
      <formula>OR($A1="date", $A1="datetime", $A1="time")</formula>
    </cfRule>
    <cfRule type="expression" dxfId="631" priority="6623" stopIfTrue="1">
      <formula>OR(AND(LEFT($A1, 16)="select_multiple ", LEN($A1)&gt;16, NOT(ISNUMBER(SEARCH(" ", $A1, 17)))), AND(LEFT($A1, 11)="select_one ", LEN($A1)&gt;11, NOT(ISNUMBER(SEARCH(" ", $A1, 12)))))</formula>
    </cfRule>
  </conditionalFormatting>
  <conditionalFormatting sqref="I73">
    <cfRule type="expression" dxfId="630" priority="234" stopIfTrue="1">
      <formula>$A73="decimal"</formula>
    </cfRule>
    <cfRule type="expression" dxfId="629" priority="233" stopIfTrue="1">
      <formula>OR(AND(LEFT($A73, 16)="select_multiple ", LEN($A73)&gt;16, NOT(ISNUMBER(SEARCH(" ", $A73, 17)))), AND(LEFT($A73, 11)="select_one ", LEN($A73)&gt;11, NOT(ISNUMBER(SEARCH(" ", $A73, 12)))))</formula>
    </cfRule>
    <cfRule type="expression" dxfId="628" priority="232" stopIfTrue="1">
      <formula>OR($A73="username", $A73="phonenumber", $A73="start", $A73="end", $A73="deviceid", $A73="subscriberid", $A73="simserial", $A73="caseid")</formula>
    </cfRule>
    <cfRule type="expression" dxfId="627" priority="231" stopIfTrue="1">
      <formula>OR($A73="audio audit", $A73="text audit", $A73="speed violations count", $A73="speed violations list", $A73="speed violations audit")</formula>
    </cfRule>
    <cfRule type="expression" dxfId="626" priority="230" stopIfTrue="1">
      <formula>OR($A73="geopoint", $A73="geoshape", $A73="geotrace")</formula>
    </cfRule>
    <cfRule type="expression" dxfId="625" priority="228" stopIfTrue="1">
      <formula>$A73="note"</formula>
    </cfRule>
    <cfRule type="expression" dxfId="624" priority="225" stopIfTrue="1">
      <formula>$A73="image"</formula>
    </cfRule>
    <cfRule type="expression" dxfId="623" priority="224" stopIfTrue="1">
      <formula>OR($A73="audio", $A73="video")</formula>
    </cfRule>
    <cfRule type="expression" dxfId="622" priority="223" stopIfTrue="1">
      <formula>$A73="comments"</formula>
    </cfRule>
    <cfRule type="expression" dxfId="621" priority="222" stopIfTrue="1">
      <formula>OR(AND(LEFT($A73, 14)="sensor_stream ", LEN($A73)&gt;14, NOT(ISNUMBER(SEARCH(" ", $A73, 15)))), AND(LEFT($A73, 17)="sensor_statistic ", LEN($A73)&gt;17, NOT(ISNUMBER(SEARCH(" ", $A73, 18)))))</formula>
    </cfRule>
    <cfRule type="expression" dxfId="620" priority="221" stopIfTrue="1">
      <formula>$A73="enumerator"</formula>
    </cfRule>
    <cfRule type="expression" dxfId="619" priority="220" stopIfTrue="1">
      <formula>$A73="file"</formula>
    </cfRule>
    <cfRule type="expression" dxfId="618" priority="229" stopIfTrue="1">
      <formula>$A73="barcode"</formula>
    </cfRule>
    <cfRule type="expression" dxfId="617" priority="227" stopIfTrue="1">
      <formula>OR($A73="calculate", $A73="calculate_here")</formula>
    </cfRule>
    <cfRule type="expression" dxfId="616" priority="242" stopIfTrue="1">
      <formula>$A73="begin group"</formula>
    </cfRule>
    <cfRule type="expression" dxfId="615" priority="241" stopIfTrue="1">
      <formula>$A73="begin group"</formula>
    </cfRule>
    <cfRule type="expression" dxfId="614" priority="240" stopIfTrue="1">
      <formula>$A73="end group"</formula>
    </cfRule>
    <cfRule type="expression" dxfId="613" priority="239" stopIfTrue="1">
      <formula>$A73="begin repeat"</formula>
    </cfRule>
    <cfRule type="expression" dxfId="612" priority="238" stopIfTrue="1">
      <formula>$A73="begin repeat"</formula>
    </cfRule>
    <cfRule type="expression" dxfId="611" priority="237" stopIfTrue="1">
      <formula>$A73="end repeat"</formula>
    </cfRule>
    <cfRule type="expression" dxfId="610" priority="226" stopIfTrue="1">
      <formula>OR($A73="date", $A73="datetime", $A73="time")</formula>
    </cfRule>
    <cfRule type="expression" dxfId="609" priority="236" stopIfTrue="1">
      <formula>$A73="text"</formula>
    </cfRule>
    <cfRule type="expression" dxfId="608" priority="235" stopIfTrue="1">
      <formula>$A73="integer"</formula>
    </cfRule>
  </conditionalFormatting>
  <conditionalFormatting sqref="I80">
    <cfRule type="expression" dxfId="607" priority="116" stopIfTrue="1">
      <formula>#REF!="begin repeat"</formula>
    </cfRule>
    <cfRule type="expression" dxfId="606" priority="117" stopIfTrue="1">
      <formula>#REF!="comments"</formula>
    </cfRule>
    <cfRule type="expression" dxfId="605" priority="118" stopIfTrue="1">
      <formula>OR(#REF!="calculate", #REF!="calculate_here")</formula>
    </cfRule>
    <cfRule type="expression" dxfId="604" priority="119" stopIfTrue="1">
      <formula>#REF!="file"</formula>
    </cfRule>
    <cfRule type="expression" dxfId="603" priority="120" stopIfTrue="1">
      <formula>OR(#REF!="audio", #REF!="video")</formula>
    </cfRule>
    <cfRule type="expression" dxfId="602" priority="121" stopIfTrue="1">
      <formula>#REF!="note"</formula>
    </cfRule>
    <cfRule type="expression" dxfId="601" priority="123" stopIfTrue="1">
      <formula>OR(#REF!="geopoint", #REF!="geoshape", #REF!="geotrace")</formula>
    </cfRule>
    <cfRule type="expression" dxfId="600" priority="124" stopIfTrue="1">
      <formula>#REF!="enumerator"</formula>
    </cfRule>
    <cfRule type="expression" dxfId="599" priority="126" stopIfTrue="1">
      <formula>#REF!="image"</formula>
    </cfRule>
    <cfRule type="expression" dxfId="598" priority="127" stopIfTrue="1">
      <formula>OR(#REF!="date", #REF!="datetime", #REF!="time")</formula>
    </cfRule>
    <cfRule type="expression" dxfId="597" priority="128" stopIfTrue="1">
      <formula>OR(#REF!="audio audit", #REF!="text audit", #REF!="speed violations count", #REF!="speed violations list", #REF!="speed violations audit")</formula>
    </cfRule>
    <cfRule type="expression" dxfId="596" priority="133" stopIfTrue="1">
      <formula>#REF!="begin repeat"</formula>
    </cfRule>
    <cfRule type="expression" dxfId="595" priority="129" stopIfTrue="1">
      <formula>OR(AND(LEFT(#REF!, 16)="select_multiple ", LEN(#REF!)&gt;16, NOT(ISNUMBER(SEARCH(" ", #REF!, 17)))), AND(LEFT(#REF!, 11)="select_one ", LEN(#REF!)&gt;11, NOT(ISNUMBER(SEARCH(" ", #REF!, 12)))))</formula>
    </cfRule>
    <cfRule type="expression" dxfId="594" priority="134" stopIfTrue="1">
      <formula>#REF!="begin group"</formula>
    </cfRule>
    <cfRule type="expression" dxfId="593" priority="125" stopIfTrue="1">
      <formula>OR(AND(LEFT(#REF!, 14)="sensor_stream ", LEN(#REF!)&gt;14, NOT(ISNUMBER(SEARCH(" ", #REF!, 15)))), AND(LEFT(#REF!, 17)="sensor_statistic ", LEN(#REF!)&gt;17, NOT(ISNUMBER(SEARCH(" ", #REF!, 18)))))</formula>
    </cfRule>
    <cfRule type="expression" dxfId="592" priority="136" stopIfTrue="1">
      <formula>#REF!="end repeat"</formula>
    </cfRule>
    <cfRule type="expression" dxfId="591" priority="138" stopIfTrue="1">
      <formula>#REF!="begin group"</formula>
    </cfRule>
    <cfRule type="expression" dxfId="590" priority="137" stopIfTrue="1">
      <formula>#REF!="end group"</formula>
    </cfRule>
    <cfRule type="expression" dxfId="589" priority="132" stopIfTrue="1">
      <formula>#REF!="text"</formula>
    </cfRule>
    <cfRule type="expression" dxfId="588" priority="131" stopIfTrue="1">
      <formula>#REF!="integer"</formula>
    </cfRule>
    <cfRule type="expression" dxfId="587" priority="135" stopIfTrue="1">
      <formula>OR(#REF!="username", #REF!="phonenumber", #REF!="start", #REF!="end", #REF!="deviceid", #REF!="subscriberid", #REF!="simserial", #REF!="caseid")</formula>
    </cfRule>
    <cfRule type="expression" dxfId="586" priority="130" stopIfTrue="1">
      <formula>#REF!="decimal"</formula>
    </cfRule>
    <cfRule type="expression" dxfId="585" priority="122" stopIfTrue="1">
      <formula>#REF!="barcode"</formula>
    </cfRule>
  </conditionalFormatting>
  <conditionalFormatting sqref="I90">
    <cfRule type="expression" dxfId="584" priority="115" stopIfTrue="1">
      <formula>$A92="begin group"</formula>
    </cfRule>
    <cfRule type="expression" dxfId="583" priority="102" stopIfTrue="1">
      <formula>OR(AND(LEFT($A92, 14)="sensor_stream ", LEN($A92)&gt;14, NOT(ISNUMBER(SEARCH(" ", $A92, 15)))), AND(LEFT($A92, 17)="sensor_statistic ", LEN($A92)&gt;17, NOT(ISNUMBER(SEARCH(" ", $A92, 18)))))</formula>
    </cfRule>
    <cfRule type="expression" dxfId="582" priority="93" stopIfTrue="1">
      <formula>$A92="begin repeat"</formula>
    </cfRule>
    <cfRule type="expression" dxfId="581" priority="94" stopIfTrue="1">
      <formula>$A92="comments"</formula>
    </cfRule>
    <cfRule type="expression" dxfId="580" priority="95" stopIfTrue="1">
      <formula>OR($A92="calculate", $A92="calculate_here")</formula>
    </cfRule>
    <cfRule type="expression" dxfId="579" priority="96" stopIfTrue="1">
      <formula>$A92="file"</formula>
    </cfRule>
    <cfRule type="expression" dxfId="578" priority="97" stopIfTrue="1">
      <formula>OR($A92="audio", $A92="video")</formula>
    </cfRule>
    <cfRule type="expression" dxfId="577" priority="98" stopIfTrue="1">
      <formula>$A92="note"</formula>
    </cfRule>
    <cfRule type="expression" dxfId="576" priority="99" stopIfTrue="1">
      <formula>$A92="barcode"</formula>
    </cfRule>
    <cfRule type="expression" dxfId="575" priority="100" stopIfTrue="1">
      <formula>OR($A92="geopoint", $A92="geoshape", $A92="geotrace")</formula>
    </cfRule>
    <cfRule type="expression" dxfId="574" priority="101" stopIfTrue="1">
      <formula>$A92="enumerator"</formula>
    </cfRule>
    <cfRule type="expression" dxfId="573" priority="103" stopIfTrue="1">
      <formula>$A92="image"</formula>
    </cfRule>
    <cfRule type="expression" dxfId="572" priority="104" stopIfTrue="1">
      <formula>OR($A92="date", $A92="datetime", $A92="time")</formula>
    </cfRule>
    <cfRule type="expression" dxfId="571" priority="105" stopIfTrue="1">
      <formula>OR($A92="audio audit", $A92="text audit", $A92="speed violations count", $A92="speed violations list", $A92="speed violations audit")</formula>
    </cfRule>
    <cfRule type="expression" dxfId="570" priority="106" stopIfTrue="1">
      <formula>OR(AND(LEFT($A92, 16)="select_multiple ", LEN($A92)&gt;16, NOT(ISNUMBER(SEARCH(" ", $A92, 17)))), AND(LEFT($A92, 11)="select_one ", LEN($A92)&gt;11, NOT(ISNUMBER(SEARCH(" ", $A92, 12)))))</formula>
    </cfRule>
    <cfRule type="expression" dxfId="569" priority="107" stopIfTrue="1">
      <formula>$A92="decimal"</formula>
    </cfRule>
    <cfRule type="expression" dxfId="568" priority="108" stopIfTrue="1">
      <formula>$A92="integer"</formula>
    </cfRule>
    <cfRule type="expression" dxfId="567" priority="109" stopIfTrue="1">
      <formula>$A92="text"</formula>
    </cfRule>
    <cfRule type="expression" dxfId="566" priority="110" stopIfTrue="1">
      <formula>$A92="begin repeat"</formula>
    </cfRule>
    <cfRule type="expression" dxfId="565" priority="111" stopIfTrue="1">
      <formula>$A92="begin group"</formula>
    </cfRule>
    <cfRule type="expression" dxfId="564" priority="112" stopIfTrue="1">
      <formula>OR($A92="username", $A92="phonenumber", $A92="start", $A92="end", $A92="deviceid", $A92="subscriberid", $A92="simserial", $A92="caseid")</formula>
    </cfRule>
    <cfRule type="expression" dxfId="563" priority="113" stopIfTrue="1">
      <formula>$A92="end repeat"</formula>
    </cfRule>
    <cfRule type="expression" dxfId="562" priority="114" stopIfTrue="1">
      <formula>$A92="end group"</formula>
    </cfRule>
  </conditionalFormatting>
  <conditionalFormatting sqref="I91:I92">
    <cfRule type="expression" dxfId="561" priority="5312" stopIfTrue="1">
      <formula>$A98="begin repeat"</formula>
    </cfRule>
  </conditionalFormatting>
  <conditionalFormatting sqref="I93">
    <cfRule type="expression" dxfId="560" priority="71" stopIfTrue="1">
      <formula>$A95="comments"</formula>
    </cfRule>
    <cfRule type="expression" dxfId="559" priority="90" stopIfTrue="1">
      <formula>$A95="end repeat"</formula>
    </cfRule>
    <cfRule type="expression" dxfId="558" priority="89" stopIfTrue="1">
      <formula>OR($A95="username", $A95="phonenumber", $A95="start", $A95="end", $A95="deviceid", $A95="subscriberid", $A95="simserial", $A95="caseid")</formula>
    </cfRule>
    <cfRule type="expression" dxfId="557" priority="88" stopIfTrue="1">
      <formula>$A95="begin group"</formula>
    </cfRule>
    <cfRule type="expression" dxfId="556" priority="87" stopIfTrue="1">
      <formula>$A95="begin repeat"</formula>
    </cfRule>
    <cfRule type="expression" dxfId="555" priority="86" stopIfTrue="1">
      <formula>$A95="text"</formula>
    </cfRule>
    <cfRule type="expression" dxfId="554" priority="85" stopIfTrue="1">
      <formula>$A95="integer"</formula>
    </cfRule>
    <cfRule type="expression" dxfId="553" priority="83" stopIfTrue="1">
      <formula>OR(AND(LEFT($A95, 16)="select_multiple ", LEN($A95)&gt;16, NOT(ISNUMBER(SEARCH(" ", $A95, 17)))), AND(LEFT($A95, 11)="select_one ", LEN($A95)&gt;11, NOT(ISNUMBER(SEARCH(" ", $A95, 12)))))</formula>
    </cfRule>
    <cfRule type="expression" dxfId="552" priority="82" stopIfTrue="1">
      <formula>OR($A95="audio audit", $A95="text audit", $A95="speed violations count", $A95="speed violations list", $A95="speed violations audit")</formula>
    </cfRule>
    <cfRule type="expression" dxfId="551" priority="81" stopIfTrue="1">
      <formula>OR($A95="date", $A95="datetime", $A95="time")</formula>
    </cfRule>
    <cfRule type="expression" dxfId="550" priority="70" stopIfTrue="1">
      <formula>$A95="begin repeat"</formula>
    </cfRule>
    <cfRule type="expression" dxfId="549" priority="80" stopIfTrue="1">
      <formula>$A95="image"</formula>
    </cfRule>
    <cfRule type="expression" dxfId="548" priority="79" stopIfTrue="1">
      <formula>OR(AND(LEFT($A95, 14)="sensor_stream ", LEN($A95)&gt;14, NOT(ISNUMBER(SEARCH(" ", $A95, 15)))), AND(LEFT($A95, 17)="sensor_statistic ", LEN($A95)&gt;17, NOT(ISNUMBER(SEARCH(" ", $A95, 18)))))</formula>
    </cfRule>
    <cfRule type="expression" dxfId="547" priority="78" stopIfTrue="1">
      <formula>$A95="enumerator"</formula>
    </cfRule>
    <cfRule type="expression" dxfId="546" priority="77" stopIfTrue="1">
      <formula>OR($A95="geopoint", $A95="geoshape", $A95="geotrace")</formula>
    </cfRule>
    <cfRule type="expression" dxfId="545" priority="75" stopIfTrue="1">
      <formula>$A95="note"</formula>
    </cfRule>
    <cfRule type="expression" dxfId="544" priority="84" stopIfTrue="1">
      <formula>$A95="decimal"</formula>
    </cfRule>
    <cfRule type="expression" dxfId="543" priority="76" stopIfTrue="1">
      <formula>$A95="barcode"</formula>
    </cfRule>
    <cfRule type="expression" dxfId="542" priority="73" stopIfTrue="1">
      <formula>$A95="file"</formula>
    </cfRule>
    <cfRule type="expression" dxfId="541" priority="74" stopIfTrue="1">
      <formula>OR($A95="audio", $A95="video")</formula>
    </cfRule>
    <cfRule type="expression" dxfId="540" priority="72" stopIfTrue="1">
      <formula>OR($A95="calculate", $A95="calculate_here")</formula>
    </cfRule>
    <cfRule type="expression" dxfId="539" priority="91" stopIfTrue="1">
      <formula>$A95="end group"</formula>
    </cfRule>
    <cfRule type="expression" dxfId="538" priority="92" stopIfTrue="1">
      <formula>$A95="begin group"</formula>
    </cfRule>
  </conditionalFormatting>
  <conditionalFormatting sqref="I94:I95">
    <cfRule type="expression" dxfId="537" priority="5733" stopIfTrue="1">
      <formula>$A104="begin repeat"</formula>
    </cfRule>
  </conditionalFormatting>
  <conditionalFormatting sqref="I96:I97">
    <cfRule type="expression" dxfId="536" priority="174" stopIfTrue="1">
      <formula>OR($A96="calculate", $A96="calculate_here")</formula>
    </cfRule>
    <cfRule type="expression" dxfId="535" priority="161" stopIfTrue="1">
      <formula>$A96="file"</formula>
    </cfRule>
    <cfRule type="expression" dxfId="534" priority="162" stopIfTrue="1">
      <formula>$A96="enumerator"</formula>
    </cfRule>
    <cfRule type="expression" dxfId="533" priority="163" stopIfTrue="1">
      <formula>$A96="enumerator"</formula>
    </cfRule>
    <cfRule type="expression" dxfId="532" priority="165" stopIfTrue="1">
      <formula>OR(AND(LEFT($A96, 14)="sensor_stream ", LEN($A96)&gt;14, NOT(ISNUMBER(SEARCH(" ", $A96, 15)))), AND(LEFT($A96, 17)="sensor_statistic ", LEN($A96)&gt;17, NOT(ISNUMBER(SEARCH(" ", $A96, 18)))))</formula>
    </cfRule>
    <cfRule type="expression" dxfId="531" priority="173" stopIfTrue="1">
      <formula>OR($A96="date", $A96="datetime", $A96="time")</formula>
    </cfRule>
    <cfRule type="expression" dxfId="530" priority="172" stopIfTrue="1">
      <formula>OR($A96="date", $A96="datetime", $A96="time")</formula>
    </cfRule>
    <cfRule type="expression" dxfId="529" priority="167" stopIfTrue="1">
      <formula>$A96="comments"</formula>
    </cfRule>
    <cfRule type="expression" dxfId="528" priority="171" stopIfTrue="1">
      <formula>$A96="image"</formula>
    </cfRule>
    <cfRule type="expression" dxfId="527" priority="170" stopIfTrue="1">
      <formula>$A96="image"</formula>
    </cfRule>
    <cfRule type="expression" dxfId="526" priority="193" stopIfTrue="1">
      <formula>$A96="end repeat"</formula>
    </cfRule>
    <cfRule type="expression" dxfId="525" priority="166" stopIfTrue="1">
      <formula>$A96="comments"</formula>
    </cfRule>
    <cfRule type="expression" dxfId="524" priority="198" stopIfTrue="1">
      <formula>$A96="begin group"</formula>
    </cfRule>
    <cfRule type="expression" dxfId="523" priority="197" stopIfTrue="1">
      <formula>$A96="begin group"</formula>
    </cfRule>
    <cfRule type="expression" dxfId="522" priority="196" stopIfTrue="1">
      <formula>$A96="end group"</formula>
    </cfRule>
    <cfRule type="expression" dxfId="521" priority="169" stopIfTrue="1">
      <formula>OR($A96="audio", $A96="video")</formula>
    </cfRule>
    <cfRule type="expression" dxfId="520" priority="182" stopIfTrue="1">
      <formula>OR($A96="audio audit", $A96="text audit", $A96="speed violations count", $A96="speed violations list", $A96="speed violations audit")</formula>
    </cfRule>
    <cfRule type="expression" dxfId="519" priority="181" stopIfTrue="1">
      <formula>OR($A96="geopoint", $A96="geoshape", $A96="geotrace")</formula>
    </cfRule>
    <cfRule type="expression" dxfId="518" priority="194" stopIfTrue="1">
      <formula>$A96="begin repeat"</formula>
    </cfRule>
    <cfRule type="expression" dxfId="517" priority="179" stopIfTrue="1">
      <formula>$A96="barcode"</formula>
    </cfRule>
    <cfRule type="expression" dxfId="516" priority="178" stopIfTrue="1">
      <formula>$A96="barcode"</formula>
    </cfRule>
    <cfRule type="expression" dxfId="515" priority="177" stopIfTrue="1">
      <formula>$A96="note"</formula>
    </cfRule>
    <cfRule type="expression" dxfId="514" priority="176" stopIfTrue="1">
      <formula>$A96="note"</formula>
    </cfRule>
    <cfRule type="expression" dxfId="513" priority="175" stopIfTrue="1">
      <formula>OR($A96="calculate", $A96="calculate_here")</formula>
    </cfRule>
    <cfRule type="expression" dxfId="512" priority="180" stopIfTrue="1">
      <formula>OR($A96="geopoint", $A96="geoshape", $A96="geotrace")</formula>
    </cfRule>
    <cfRule type="expression" dxfId="511" priority="160" stopIfTrue="1">
      <formula>$A96="file"</formula>
    </cfRule>
    <cfRule type="expression" dxfId="510" priority="164" stopIfTrue="1">
      <formula>OR(AND(LEFT($A96, 14)="sensor_stream ", LEN($A96)&gt;14, NOT(ISNUMBER(SEARCH(" ", $A96, 15)))), AND(LEFT($A96, 17)="sensor_statistic ", LEN($A96)&gt;17, NOT(ISNUMBER(SEARCH(" ", $A96, 18)))))</formula>
    </cfRule>
    <cfRule type="expression" dxfId="509" priority="168" stopIfTrue="1">
      <formula>OR($A96="audio", $A96="video")</formula>
    </cfRule>
    <cfRule type="expression" dxfId="508" priority="183" stopIfTrue="1">
      <formula>OR($A96="audio audit", $A96="text audit", $A96="speed violations count", $A96="speed violations list", $A96="speed violations audit")</formula>
    </cfRule>
    <cfRule type="expression" dxfId="507" priority="184" stopIfTrue="1">
      <formula>OR($A96="username", $A96="phonenumber", $A96="start", $A96="end", $A96="deviceid", $A96="subscriberid", $A96="simserial", $A96="caseid")</formula>
    </cfRule>
    <cfRule type="expression" dxfId="506" priority="185" stopIfTrue="1">
      <formula>OR(AND(LEFT($A96, 16)="select_multiple ", LEN($A96)&gt;16, NOT(ISNUMBER(SEARCH(" ", $A96, 17)))), AND(LEFT($A96, 11)="select_one ", LEN($A96)&gt;11, NOT(ISNUMBER(SEARCH(" ", $A96, 12)))))</formula>
    </cfRule>
    <cfRule type="expression" dxfId="505" priority="186" stopIfTrue="1">
      <formula>OR(AND(LEFT($A96, 16)="select_multiple ", LEN($A96)&gt;16, NOT(ISNUMBER(SEARCH(" ", $A96, 17)))), AND(LEFT($A96, 11)="select_one ", LEN($A96)&gt;11, NOT(ISNUMBER(SEARCH(" ", $A96, 12)))))</formula>
    </cfRule>
    <cfRule type="expression" dxfId="504" priority="187" stopIfTrue="1">
      <formula>$A96="decimal"</formula>
    </cfRule>
    <cfRule type="expression" dxfId="503" priority="188" stopIfTrue="1">
      <formula>$A96="decimal"</formula>
    </cfRule>
    <cfRule type="expression" dxfId="502" priority="195" stopIfTrue="1">
      <formula>$A96="begin repeat"</formula>
    </cfRule>
    <cfRule type="expression" dxfId="501" priority="189" stopIfTrue="1">
      <formula>$A96="integer"</formula>
    </cfRule>
    <cfRule type="expression" dxfId="500" priority="190" stopIfTrue="1">
      <formula>$A96="integer"</formula>
    </cfRule>
    <cfRule type="expression" dxfId="499" priority="191" stopIfTrue="1">
      <formula>$A96="text"</formula>
    </cfRule>
    <cfRule type="expression" dxfId="498" priority="192" stopIfTrue="1">
      <formula>$A96="text"</formula>
    </cfRule>
  </conditionalFormatting>
  <conditionalFormatting sqref="I102:I103 D139:K141 D160:K167 D168:H168 J168:K168 D169:K170 D171:H172 J171:K172 D173:K174 D175:H175 J175:K175 D176:K1048568">
    <cfRule type="expression" dxfId="497" priority="147" stopIfTrue="1">
      <formula>OR(AND(LEFT($A105, 14)="sensor_stream ", LEN($A105)&gt;14, NOT(ISNUMBER(SEARCH(" ", $A105, 15)))), AND(LEFT($A105, 17)="sensor_statistic ", LEN($A105)&gt;17, NOT(ISNUMBER(SEARCH(" ", $A105, 18)))))</formula>
    </cfRule>
    <cfRule type="expression" dxfId="496" priority="146" stopIfTrue="1">
      <formula>$A105="enumerator"</formula>
    </cfRule>
    <cfRule type="expression" dxfId="495" priority="145" stopIfTrue="1">
      <formula>OR($A105="geopoint", $A105="geoshape", $A105="geotrace")</formula>
    </cfRule>
    <cfRule type="expression" dxfId="494" priority="143" stopIfTrue="1">
      <formula>$A105="note"</formula>
    </cfRule>
    <cfRule type="expression" dxfId="493" priority="154" stopIfTrue="1">
      <formula>$A105="text"</formula>
    </cfRule>
    <cfRule type="expression" dxfId="492" priority="139" stopIfTrue="1">
      <formula>$A105="comments"</formula>
    </cfRule>
    <cfRule type="expression" dxfId="491" priority="140" stopIfTrue="1">
      <formula>OR($A105="calculate", $A105="calculate_here")</formula>
    </cfRule>
    <cfRule type="expression" dxfId="490" priority="141" stopIfTrue="1">
      <formula>$A105="file"</formula>
    </cfRule>
    <cfRule type="expression" dxfId="489" priority="142" stopIfTrue="1">
      <formula>OR($A105="audio", $A105="video")</formula>
    </cfRule>
    <cfRule type="expression" dxfId="488" priority="159" stopIfTrue="1">
      <formula>$A105="end group"</formula>
    </cfRule>
    <cfRule type="expression" dxfId="487" priority="144" stopIfTrue="1">
      <formula>$A105="barcode"</formula>
    </cfRule>
    <cfRule type="expression" dxfId="486" priority="158" stopIfTrue="1">
      <formula>$A105="end repeat"</formula>
    </cfRule>
    <cfRule type="expression" dxfId="485" priority="157" stopIfTrue="1">
      <formula>OR($A105="username", $A105="phonenumber", $A105="start", $A105="end", $A105="deviceid", $A105="subscriberid", $A105="simserial", $A105="caseid")</formula>
    </cfRule>
    <cfRule type="expression" dxfId="484" priority="156" stopIfTrue="1">
      <formula>$A105="begin group"</formula>
    </cfRule>
    <cfRule type="expression" dxfId="483" priority="155" stopIfTrue="1">
      <formula>$A105="begin repeat"</formula>
    </cfRule>
    <cfRule type="expression" dxfId="482" priority="153" stopIfTrue="1">
      <formula>$A105="integer"</formula>
    </cfRule>
    <cfRule type="expression" dxfId="481" priority="152" stopIfTrue="1">
      <formula>$A105="decimal"</formula>
    </cfRule>
    <cfRule type="expression" dxfId="480" priority="151" stopIfTrue="1">
      <formula>OR(AND(LEFT($A105, 16)="select_multiple ", LEN($A105)&gt;16, NOT(ISNUMBER(SEARCH(" ", $A105, 17)))), AND(LEFT($A105, 11)="select_one ", LEN($A105)&gt;11, NOT(ISNUMBER(SEARCH(" ", $A105, 12)))))</formula>
    </cfRule>
    <cfRule type="expression" dxfId="479" priority="150" stopIfTrue="1">
      <formula>OR($A105="audio audit", $A105="text audit", $A105="speed violations count", $A105="speed violations list", $A105="speed violations audit")</formula>
    </cfRule>
    <cfRule type="expression" dxfId="478" priority="149" stopIfTrue="1">
      <formula>OR($A105="date", $A105="datetime", $A105="time")</formula>
    </cfRule>
    <cfRule type="expression" dxfId="477" priority="148" stopIfTrue="1">
      <formula>$A105="image"</formula>
    </cfRule>
  </conditionalFormatting>
  <conditionalFormatting sqref="I102:I103 I139:I141 I160:I167 I169:I170 I173:I174 I176:I1048568 F139:F141 F160:F1048568">
    <cfRule type="expression" dxfId="476" priority="5801" stopIfTrue="1">
      <formula>$A105="begin group"</formula>
    </cfRule>
  </conditionalFormatting>
  <conditionalFormatting sqref="I105">
    <cfRule type="expression" dxfId="475" priority="69" stopIfTrue="1">
      <formula>$A108="begin group"</formula>
    </cfRule>
    <cfRule type="expression" dxfId="474" priority="51" stopIfTrue="1">
      <formula>$A108="note"</formula>
    </cfRule>
    <cfRule type="expression" dxfId="473" priority="52" stopIfTrue="1">
      <formula>$A108="barcode"</formula>
    </cfRule>
    <cfRule type="expression" dxfId="472" priority="53" stopIfTrue="1">
      <formula>OR($A108="geopoint", $A108="geoshape", $A108="geotrace")</formula>
    </cfRule>
    <cfRule type="expression" dxfId="471" priority="54" stopIfTrue="1">
      <formula>$A108="enumerator"</formula>
    </cfRule>
    <cfRule type="expression" dxfId="470" priority="56" stopIfTrue="1">
      <formula>$A108="image"</formula>
    </cfRule>
    <cfRule type="expression" dxfId="469" priority="57" stopIfTrue="1">
      <formula>OR($A108="date", $A108="datetime", $A108="time")</formula>
    </cfRule>
    <cfRule type="expression" dxfId="468" priority="58" stopIfTrue="1">
      <formula>OR($A108="audio audit", $A108="text audit", $A108="speed violations count", $A108="speed violations list", $A108="speed violations audit")</formula>
    </cfRule>
    <cfRule type="expression" dxfId="467" priority="60" stopIfTrue="1">
      <formula>$A108="decimal"</formula>
    </cfRule>
    <cfRule type="expression" dxfId="466" priority="61" stopIfTrue="1">
      <formula>$A108="integer"</formula>
    </cfRule>
    <cfRule type="expression" dxfId="465" priority="62" stopIfTrue="1">
      <formula>$A108="text"</formula>
    </cfRule>
    <cfRule type="expression" dxfId="464" priority="63" stopIfTrue="1">
      <formula>$A108="begin repeat"</formula>
    </cfRule>
    <cfRule type="expression" dxfId="463" priority="68" stopIfTrue="1">
      <formula>$A108="begin repeat"</formula>
    </cfRule>
    <cfRule type="expression" dxfId="462" priority="64" stopIfTrue="1">
      <formula>$A108="begin group"</formula>
    </cfRule>
    <cfRule type="expression" dxfId="461" priority="65" stopIfTrue="1">
      <formula>OR($A108="username", $A108="phonenumber", $A108="start", $A108="end", $A108="deviceid", $A108="subscriberid", $A108="simserial", $A108="caseid")</formula>
    </cfRule>
    <cfRule type="expression" dxfId="460" priority="66" stopIfTrue="1">
      <formula>$A108="end repeat"</formula>
    </cfRule>
    <cfRule type="expression" dxfId="459" priority="67" stopIfTrue="1">
      <formula>$A108="end group"</formula>
    </cfRule>
    <cfRule type="expression" dxfId="458" priority="59" stopIfTrue="1">
      <formula>OR(AND(LEFT($A108, 16)="select_multiple ", LEN($A108)&gt;16, NOT(ISNUMBER(SEARCH(" ", $A108, 17)))), AND(LEFT($A108, 11)="select_one ", LEN($A108)&gt;11, NOT(ISNUMBER(SEARCH(" ", $A108, 12)))))</formula>
    </cfRule>
    <cfRule type="expression" dxfId="457" priority="55" stopIfTrue="1">
      <formula>OR(AND(LEFT($A108, 14)="sensor_stream ", LEN($A108)&gt;14, NOT(ISNUMBER(SEARCH(" ", $A108, 15)))), AND(LEFT($A108, 17)="sensor_statistic ", LEN($A108)&gt;17, NOT(ISNUMBER(SEARCH(" ", $A108, 18)))))</formula>
    </cfRule>
    <cfRule type="expression" dxfId="456" priority="50" stopIfTrue="1">
      <formula>OR($A108="audio", $A108="video")</formula>
    </cfRule>
    <cfRule type="expression" dxfId="455" priority="49" stopIfTrue="1">
      <formula>$A108="file"</formula>
    </cfRule>
    <cfRule type="expression" dxfId="454" priority="48" stopIfTrue="1">
      <formula>OR($A108="calculate", $A108="calculate_here")</formula>
    </cfRule>
    <cfRule type="expression" dxfId="453" priority="47" stopIfTrue="1">
      <formula>$A108="comments"</formula>
    </cfRule>
  </conditionalFormatting>
  <conditionalFormatting sqref="I111">
    <cfRule type="expression" dxfId="452" priority="25" stopIfTrue="1">
      <formula>OR($A114="calculate", $A114="calculate_here")</formula>
    </cfRule>
    <cfRule type="expression" dxfId="451" priority="36" stopIfTrue="1">
      <formula>OR(AND(LEFT($A114, 16)="select_multiple ", LEN($A114)&gt;16, NOT(ISNUMBER(SEARCH(" ", $A114, 17)))), AND(LEFT($A114, 11)="select_one ", LEN($A114)&gt;11, NOT(ISNUMBER(SEARCH(" ", $A114, 12)))))</formula>
    </cfRule>
    <cfRule type="expression" dxfId="450" priority="24" stopIfTrue="1">
      <formula>$A114="comments"</formula>
    </cfRule>
    <cfRule type="expression" dxfId="449" priority="26" stopIfTrue="1">
      <formula>$A114="file"</formula>
    </cfRule>
    <cfRule type="expression" dxfId="448" priority="46" stopIfTrue="1">
      <formula>$A114="begin group"</formula>
    </cfRule>
    <cfRule type="expression" dxfId="447" priority="45" stopIfTrue="1">
      <formula>$A114="begin repeat"</formula>
    </cfRule>
    <cfRule type="expression" dxfId="446" priority="44" stopIfTrue="1">
      <formula>$A114="end group"</formula>
    </cfRule>
    <cfRule type="expression" dxfId="445" priority="43" stopIfTrue="1">
      <formula>$A114="end repeat"</formula>
    </cfRule>
    <cfRule type="expression" dxfId="444" priority="42" stopIfTrue="1">
      <formula>OR($A114="username", $A114="phonenumber", $A114="start", $A114="end", $A114="deviceid", $A114="subscriberid", $A114="simserial", $A114="caseid")</formula>
    </cfRule>
    <cfRule type="expression" dxfId="443" priority="41" stopIfTrue="1">
      <formula>$A114="begin group"</formula>
    </cfRule>
    <cfRule type="expression" dxfId="442" priority="40" stopIfTrue="1">
      <formula>$A114="begin repeat"</formula>
    </cfRule>
    <cfRule type="expression" dxfId="441" priority="39" stopIfTrue="1">
      <formula>$A114="text"</formula>
    </cfRule>
    <cfRule type="expression" dxfId="440" priority="38" stopIfTrue="1">
      <formula>$A114="integer"</formula>
    </cfRule>
    <cfRule type="expression" dxfId="439" priority="37" stopIfTrue="1">
      <formula>$A114="decimal"</formula>
    </cfRule>
    <cfRule type="expression" dxfId="438" priority="35" stopIfTrue="1">
      <formula>OR($A114="audio audit", $A114="text audit", $A114="speed violations count", $A114="speed violations list", $A114="speed violations audit")</formula>
    </cfRule>
    <cfRule type="expression" dxfId="437" priority="34" stopIfTrue="1">
      <formula>OR($A114="date", $A114="datetime", $A114="time")</formula>
    </cfRule>
    <cfRule type="expression" dxfId="436" priority="33" stopIfTrue="1">
      <formula>$A114="image"</formula>
    </cfRule>
    <cfRule type="expression" dxfId="435" priority="32" stopIfTrue="1">
      <formula>OR(AND(LEFT($A114, 14)="sensor_stream ", LEN($A114)&gt;14, NOT(ISNUMBER(SEARCH(" ", $A114, 15)))), AND(LEFT($A114, 17)="sensor_statistic ", LEN($A114)&gt;17, NOT(ISNUMBER(SEARCH(" ", $A114, 18)))))</formula>
    </cfRule>
    <cfRule type="expression" dxfId="434" priority="31" stopIfTrue="1">
      <formula>$A114="enumerator"</formula>
    </cfRule>
    <cfRule type="expression" dxfId="433" priority="30" stopIfTrue="1">
      <formula>OR($A114="geopoint", $A114="geoshape", $A114="geotrace")</formula>
    </cfRule>
    <cfRule type="expression" dxfId="432" priority="29" stopIfTrue="1">
      <formula>$A114="barcode"</formula>
    </cfRule>
    <cfRule type="expression" dxfId="431" priority="28" stopIfTrue="1">
      <formula>$A114="note"</formula>
    </cfRule>
    <cfRule type="expression" dxfId="430" priority="27" stopIfTrue="1">
      <formula>OR($A114="audio", $A114="video")</formula>
    </cfRule>
  </conditionalFormatting>
  <conditionalFormatting sqref="I120">
    <cfRule type="expression" dxfId="429" priority="15" stopIfTrue="1">
      <formula>$A123="integer"</formula>
    </cfRule>
    <cfRule type="expression" dxfId="428" priority="16" stopIfTrue="1">
      <formula>$A123="text"</formula>
    </cfRule>
    <cfRule type="expression" dxfId="427" priority="17" stopIfTrue="1">
      <formula>$A123="begin repeat"</formula>
    </cfRule>
    <cfRule type="expression" dxfId="426" priority="18" stopIfTrue="1">
      <formula>$A123="begin group"</formula>
    </cfRule>
    <cfRule type="expression" dxfId="425" priority="19" stopIfTrue="1">
      <formula>OR($A123="username", $A123="phonenumber", $A123="start", $A123="end", $A123="deviceid", $A123="subscriberid", $A123="simserial", $A123="caseid")</formula>
    </cfRule>
    <cfRule type="expression" dxfId="424" priority="20" stopIfTrue="1">
      <formula>$A123="end repeat"</formula>
    </cfRule>
    <cfRule type="expression" dxfId="423" priority="21" stopIfTrue="1">
      <formula>$A123="end group"</formula>
    </cfRule>
    <cfRule type="expression" dxfId="422" priority="22" stopIfTrue="1">
      <formula>$A123="begin repeat"</formula>
    </cfRule>
    <cfRule type="expression" dxfId="421" priority="23" stopIfTrue="1">
      <formula>$A123="begin group"</formula>
    </cfRule>
    <cfRule type="expression" dxfId="420" priority="1" stopIfTrue="1">
      <formula>$A123="comments"</formula>
    </cfRule>
    <cfRule type="expression" dxfId="419" priority="2" stopIfTrue="1">
      <formula>OR($A123="calculate", $A123="calculate_here")</formula>
    </cfRule>
    <cfRule type="expression" dxfId="418" priority="3" stopIfTrue="1">
      <formula>$A123="file"</formula>
    </cfRule>
    <cfRule type="expression" dxfId="417" priority="4" stopIfTrue="1">
      <formula>OR($A123="audio", $A123="video")</formula>
    </cfRule>
    <cfRule type="expression" dxfId="416" priority="5" stopIfTrue="1">
      <formula>$A123="note"</formula>
    </cfRule>
    <cfRule type="expression" dxfId="415" priority="6" stopIfTrue="1">
      <formula>$A123="barcode"</formula>
    </cfRule>
    <cfRule type="expression" dxfId="414" priority="7" stopIfTrue="1">
      <formula>OR($A123="geopoint", $A123="geoshape", $A123="geotrace")</formula>
    </cfRule>
    <cfRule type="expression" dxfId="413" priority="8" stopIfTrue="1">
      <formula>$A123="enumerator"</formula>
    </cfRule>
    <cfRule type="expression" dxfId="412" priority="9" stopIfTrue="1">
      <formula>OR(AND(LEFT($A123, 14)="sensor_stream ", LEN($A123)&gt;14, NOT(ISNUMBER(SEARCH(" ", $A123, 15)))), AND(LEFT($A123, 17)="sensor_statistic ", LEN($A123)&gt;17, NOT(ISNUMBER(SEARCH(" ", $A123, 18)))))</formula>
    </cfRule>
    <cfRule type="expression" dxfId="411" priority="10" stopIfTrue="1">
      <formula>$A123="image"</formula>
    </cfRule>
    <cfRule type="expression" dxfId="410" priority="11" stopIfTrue="1">
      <formula>OR($A123="date", $A123="datetime", $A123="time")</formula>
    </cfRule>
    <cfRule type="expression" dxfId="409" priority="12" stopIfTrue="1">
      <formula>OR($A123="audio audit", $A123="text audit", $A123="speed violations count", $A123="speed violations list", $A123="speed violations audit")</formula>
    </cfRule>
    <cfRule type="expression" dxfId="408" priority="13" stopIfTrue="1">
      <formula>OR(AND(LEFT($A123, 16)="select_multiple ", LEN($A123)&gt;16, NOT(ISNUMBER(SEARCH(" ", $A123, 17)))), AND(LEFT($A123, 11)="select_one ", LEN($A123)&gt;11, NOT(ISNUMBER(SEARCH(" ", $A123, 12)))))</formula>
    </cfRule>
    <cfRule type="expression" dxfId="407" priority="14" stopIfTrue="1">
      <formula>$A123="decimal"</formula>
    </cfRule>
  </conditionalFormatting>
  <conditionalFormatting sqref="I171 I175">
    <cfRule type="expression" dxfId="406" priority="6947" stopIfTrue="1">
      <formula>$A171="barcode"</formula>
    </cfRule>
    <cfRule type="expression" dxfId="405" priority="6946" stopIfTrue="1">
      <formula>$A171="note"</formula>
    </cfRule>
    <cfRule type="expression" dxfId="404" priority="6960" stopIfTrue="1">
      <formula>OR($A171="username", $A171="phonenumber", $A171="start", $A171="end", $A171="deviceid", $A171="subscriberid", $A171="simserial", $A171="caseid")</formula>
    </cfRule>
    <cfRule type="expression" dxfId="403" priority="6959" stopIfTrue="1">
      <formula>$A171="begin group"</formula>
    </cfRule>
    <cfRule type="expression" dxfId="402" priority="6958" stopIfTrue="1">
      <formula>$A171="begin repeat"</formula>
    </cfRule>
    <cfRule type="expression" dxfId="401" priority="6957" stopIfTrue="1">
      <formula>$A171="text"</formula>
    </cfRule>
    <cfRule type="expression" dxfId="400" priority="6956" stopIfTrue="1">
      <formula>$A171="integer"</formula>
    </cfRule>
    <cfRule type="expression" dxfId="399" priority="6955" stopIfTrue="1">
      <formula>$A171="decimal"</formula>
    </cfRule>
    <cfRule type="expression" dxfId="398" priority="6954" stopIfTrue="1">
      <formula>OR(AND(LEFT($A171, 16)="select_multiple ", LEN($A171)&gt;16, NOT(ISNUMBER(SEARCH(" ", $A171, 17)))), AND(LEFT($A171, 11)="select_one ", LEN($A171)&gt;11, NOT(ISNUMBER(SEARCH(" ", $A171, 12)))))</formula>
    </cfRule>
    <cfRule type="expression" dxfId="397" priority="6953" stopIfTrue="1">
      <formula>OR($A171="audio audit", $A171="text audit", $A171="speed violations count", $A171="speed violations list", $A171="speed violations audit")</formula>
    </cfRule>
    <cfRule type="expression" dxfId="396" priority="6945" stopIfTrue="1">
      <formula>OR($A171="audio", $A171="video")</formula>
    </cfRule>
    <cfRule type="expression" dxfId="395" priority="6944" stopIfTrue="1">
      <formula>$A171="file"</formula>
    </cfRule>
    <cfRule type="expression" dxfId="394" priority="6950" stopIfTrue="1">
      <formula>OR(AND(LEFT($A171, 14)="sensor_stream ", LEN($A171)&gt;14, NOT(ISNUMBER(SEARCH(" ", $A171, 15)))), AND(LEFT($A171, 17)="sensor_statistic ", LEN($A171)&gt;17, NOT(ISNUMBER(SEARCH(" ", $A171, 18)))))</formula>
    </cfRule>
    <cfRule type="expression" dxfId="393" priority="6943" stopIfTrue="1">
      <formula>OR($A171="calculate", $A171="calculate_here")</formula>
    </cfRule>
    <cfRule type="expression" dxfId="392" priority="6942" stopIfTrue="1">
      <formula>$A171="comments"</formula>
    </cfRule>
    <cfRule type="expression" dxfId="391" priority="6951" stopIfTrue="1">
      <formula>$A171="image"</formula>
    </cfRule>
    <cfRule type="expression" dxfId="390" priority="6961" stopIfTrue="1">
      <formula>$A171="end repeat"</formula>
    </cfRule>
    <cfRule type="expression" dxfId="389" priority="6962" stopIfTrue="1">
      <formula>$A171="end group"</formula>
    </cfRule>
    <cfRule type="expression" dxfId="388" priority="6949" stopIfTrue="1">
      <formula>$A171="enumerator"</formula>
    </cfRule>
    <cfRule type="expression" dxfId="387" priority="6948" stopIfTrue="1">
      <formula>OR($A171="geopoint", $A171="geoshape", $A171="geotrace")</formula>
    </cfRule>
    <cfRule type="expression" dxfId="386" priority="6952" stopIfTrue="1">
      <formula>OR($A171="date", $A171="datetime", $A171="time")</formula>
    </cfRule>
  </conditionalFormatting>
  <conditionalFormatting sqref="L15:W15 L24:W24 L35:W35">
    <cfRule type="expression" dxfId="385" priority="1982" stopIfTrue="1">
      <formula>OR(#REF!="calculate", #REF!="calculate_here")</formula>
    </cfRule>
    <cfRule type="expression" dxfId="384" priority="1929" stopIfTrue="1">
      <formula>OR(#REF!="geopoint", #REF!="geoshape", #REF!="geotrace")</formula>
    </cfRule>
    <cfRule type="expression" dxfId="383" priority="1944" stopIfTrue="1">
      <formula>OR(#REF!="audio audit", #REF!="text audit", #REF!="speed violations count", #REF!="speed violations list", #REF!="speed violations audit")</formula>
    </cfRule>
    <cfRule type="expression" dxfId="382" priority="1979" stopIfTrue="1">
      <formula>#REF!="begin repeat"</formula>
    </cfRule>
    <cfRule type="expression" dxfId="381" priority="1972" stopIfTrue="1">
      <formula>#REF!="end group"</formula>
    </cfRule>
    <cfRule type="expression" dxfId="380" priority="1971" stopIfTrue="1">
      <formula>#REF!="end repeat"</formula>
    </cfRule>
    <cfRule type="expression" dxfId="379" priority="1970" stopIfTrue="1">
      <formula>OR(#REF!="username", #REF!="phonenumber", #REF!="start", #REF!="end", #REF!="deviceid", #REF!="subscriberid", #REF!="simserial", #REF!="caseid")</formula>
    </cfRule>
    <cfRule type="expression" dxfId="378" priority="1949" stopIfTrue="1">
      <formula>#REF!="begin group"</formula>
    </cfRule>
    <cfRule type="expression" dxfId="377" priority="1948" stopIfTrue="1">
      <formula>#REF!="text"</formula>
    </cfRule>
    <cfRule type="expression" dxfId="376" priority="1947" stopIfTrue="1">
      <formula>#REF!="integer"</formula>
    </cfRule>
    <cfRule type="expression" dxfId="375" priority="1946" stopIfTrue="1">
      <formula>#REF!="decimal"</formula>
    </cfRule>
    <cfRule type="expression" dxfId="374" priority="1945" stopIfTrue="1">
      <formula>OR(AND(LEFT(#REF!, 16)="select_multiple ", LEN(#REF!)&gt;16, NOT(ISNUMBER(SEARCH(" ", #REF!, 17)))), AND(LEFT(#REF!, 11)="select_one ", LEN(#REF!)&gt;11, NOT(ISNUMBER(SEARCH(" ", #REF!, 12)))))</formula>
    </cfRule>
    <cfRule type="expression" dxfId="373" priority="1943" stopIfTrue="1">
      <formula>OR(#REF!="date", #REF!="datetime", #REF!="time")</formula>
    </cfRule>
    <cfRule type="expression" dxfId="372" priority="1942" stopIfTrue="1">
      <formula>#REF!="image"</formula>
    </cfRule>
    <cfRule type="expression" dxfId="371" priority="1941" stopIfTrue="1">
      <formula>OR(AND(LEFT(#REF!, 14)="sensor_stream ", LEN(#REF!)&gt;14, NOT(ISNUMBER(SEARCH(" ", #REF!, 15)))), AND(LEFT(#REF!, 17)="sensor_statistic ", LEN(#REF!)&gt;17, NOT(ISNUMBER(SEARCH(" ", #REF!, 18)))))</formula>
    </cfRule>
    <cfRule type="expression" dxfId="370" priority="1940" stopIfTrue="1">
      <formula>#REF!="enumerator"</formula>
    </cfRule>
    <cfRule type="expression" dxfId="369" priority="1928" stopIfTrue="1">
      <formula>#REF!="barcode"</formula>
    </cfRule>
    <cfRule type="expression" dxfId="368" priority="1927" stopIfTrue="1">
      <formula>#REF!="note"</formula>
    </cfRule>
    <cfRule type="expression" dxfId="367" priority="1926" stopIfTrue="1">
      <formula>OR(#REF!="audio", #REF!="video")</formula>
    </cfRule>
    <cfRule type="expression" dxfId="366" priority="1925" stopIfTrue="1">
      <formula>#REF!="file"</formula>
    </cfRule>
    <cfRule type="expression" dxfId="365" priority="1922" stopIfTrue="1">
      <formula>#REF!="comments"</formula>
    </cfRule>
  </conditionalFormatting>
  <conditionalFormatting sqref="L16:W18 L21:W23 L25:W34 L36:W45 L51:W56 L59:W61 L63:W70">
    <cfRule type="expression" dxfId="364" priority="459" stopIfTrue="1">
      <formula>$A17="file"</formula>
    </cfRule>
    <cfRule type="expression" dxfId="363" priority="781" stopIfTrue="1">
      <formula>$A17="integer"</formula>
    </cfRule>
    <cfRule type="expression" dxfId="362" priority="782" stopIfTrue="1">
      <formula>$A17="text"</formula>
    </cfRule>
    <cfRule type="expression" dxfId="361" priority="779" stopIfTrue="1">
      <formula>OR(AND(LEFT($A17, 16)="select_multiple ", LEN($A17)&gt;16, NOT(ISNUMBER(SEARCH(" ", $A17, 17)))), AND(LEFT($A17, 11)="select_one ", LEN($A17)&gt;11, NOT(ISNUMBER(SEARCH(" ", $A17, 12)))))</formula>
    </cfRule>
    <cfRule type="expression" dxfId="360" priority="390" stopIfTrue="1">
      <formula>$A17="comments"</formula>
    </cfRule>
    <cfRule type="expression" dxfId="359" priority="1549" stopIfTrue="1">
      <formula>$A17="begin repeat"</formula>
    </cfRule>
    <cfRule type="expression" dxfId="358" priority="460" stopIfTrue="1">
      <formula>OR($A17="audio", $A17="video")</formula>
    </cfRule>
    <cfRule type="expression" dxfId="357" priority="461" stopIfTrue="1">
      <formula>$A17="note"</formula>
    </cfRule>
    <cfRule type="expression" dxfId="356" priority="778" stopIfTrue="1">
      <formula>OR($A17="audio audit", $A17="text audit", $A17="speed violations count", $A17="speed violations list", $A17="speed violations audit")</formula>
    </cfRule>
    <cfRule type="expression" dxfId="355" priority="783" stopIfTrue="1">
      <formula>$A17="begin group"</formula>
    </cfRule>
    <cfRule type="expression" dxfId="354" priority="1370" stopIfTrue="1">
      <formula>OR($A17="username", $A17="phonenumber", $A17="start", $A17="end", $A17="deviceid", $A17="subscriberid", $A17="simserial", $A17="caseid")</formula>
    </cfRule>
    <cfRule type="expression" dxfId="353" priority="1371" stopIfTrue="1">
      <formula>$A17="end repeat"</formula>
    </cfRule>
    <cfRule type="expression" dxfId="352" priority="1372" stopIfTrue="1">
      <formula>$A17="end group"</formula>
    </cfRule>
    <cfRule type="expression" dxfId="351" priority="1610" stopIfTrue="1">
      <formula>OR($A17="calculate", $A17="calculate_here")</formula>
    </cfRule>
    <cfRule type="expression" dxfId="350" priority="777" stopIfTrue="1">
      <formula>OR($A17="date", $A17="datetime", $A17="time")</formula>
    </cfRule>
    <cfRule type="expression" dxfId="349" priority="776" stopIfTrue="1">
      <formula>$A17="image"</formula>
    </cfRule>
    <cfRule type="expression" dxfId="348" priority="775" stopIfTrue="1">
      <formula>OR(AND(LEFT($A17, 14)="sensor_stream ", LEN($A17)&gt;14, NOT(ISNUMBER(SEARCH(" ", $A17, 15)))), AND(LEFT($A17, 17)="sensor_statistic ", LEN($A17)&gt;17, NOT(ISNUMBER(SEARCH(" ", $A17, 18)))))</formula>
    </cfRule>
    <cfRule type="expression" dxfId="347" priority="780" stopIfTrue="1">
      <formula>$A17="decimal"</formula>
    </cfRule>
    <cfRule type="expression" dxfId="346" priority="774" stopIfTrue="1">
      <formula>$A17="enumerator"</formula>
    </cfRule>
    <cfRule type="expression" dxfId="345" priority="463" stopIfTrue="1">
      <formula>OR($A17="geopoint", $A17="geoshape", $A17="geotrace")</formula>
    </cfRule>
    <cfRule type="expression" dxfId="344" priority="462" stopIfTrue="1">
      <formula>$A17="barcode"</formula>
    </cfRule>
  </conditionalFormatting>
  <conditionalFormatting sqref="L19:W20 L89:W90 L133:W134 L154:W155">
    <cfRule type="expression" dxfId="343" priority="2094" stopIfTrue="1">
      <formula>$A21="enumerator"</formula>
    </cfRule>
    <cfRule type="expression" dxfId="342" priority="2058" stopIfTrue="1">
      <formula>$A21="comments"</formula>
    </cfRule>
    <cfRule type="expression" dxfId="341" priority="2118" stopIfTrue="1">
      <formula>OR($A21="calculate", $A21="calculate_here")</formula>
    </cfRule>
    <cfRule type="expression" dxfId="340" priority="2115" stopIfTrue="1">
      <formula>$A21="begin repeat"</formula>
    </cfRule>
    <cfRule type="expression" dxfId="339" priority="2112" stopIfTrue="1">
      <formula>$A21="end group"</formula>
    </cfRule>
    <cfRule type="expression" dxfId="338" priority="2101" stopIfTrue="1">
      <formula>$A21="integer"</formula>
    </cfRule>
    <cfRule type="expression" dxfId="337" priority="2111" stopIfTrue="1">
      <formula>$A21="end repeat"</formula>
    </cfRule>
    <cfRule type="expression" dxfId="336" priority="2110" stopIfTrue="1">
      <formula>OR($A21="username", $A21="phonenumber", $A21="start", $A21="end", $A21="deviceid", $A21="subscriberid", $A21="simserial", $A21="caseid")</formula>
    </cfRule>
    <cfRule type="expression" dxfId="335" priority="2103" stopIfTrue="1">
      <formula>$A21="begin group"</formula>
    </cfRule>
    <cfRule type="expression" dxfId="334" priority="2102" stopIfTrue="1">
      <formula>$A21="text"</formula>
    </cfRule>
    <cfRule type="expression" dxfId="333" priority="2100" stopIfTrue="1">
      <formula>$A21="decimal"</formula>
    </cfRule>
    <cfRule type="expression" dxfId="332" priority="2095" stopIfTrue="1">
      <formula>OR(AND(LEFT($A21, 14)="sensor_stream ", LEN($A21)&gt;14, NOT(ISNUMBER(SEARCH(" ", $A21, 15)))), AND(LEFT($A21, 17)="sensor_statistic ", LEN($A21)&gt;17, NOT(ISNUMBER(SEARCH(" ", $A21, 18)))))</formula>
    </cfRule>
    <cfRule type="expression" dxfId="331" priority="2099" stopIfTrue="1">
      <formula>OR(AND(LEFT($A21, 16)="select_multiple ", LEN($A21)&gt;16, NOT(ISNUMBER(SEARCH(" ", $A21, 17)))), AND(LEFT($A21, 11)="select_one ", LEN($A21)&gt;11, NOT(ISNUMBER(SEARCH(" ", $A21, 12)))))</formula>
    </cfRule>
    <cfRule type="expression" dxfId="330" priority="2098" stopIfTrue="1">
      <formula>OR($A21="audio audit", $A21="text audit", $A21="speed violations count", $A21="speed violations list", $A21="speed violations audit")</formula>
    </cfRule>
    <cfRule type="expression" dxfId="329" priority="2097" stopIfTrue="1">
      <formula>OR($A21="date", $A21="datetime", $A21="time")</formula>
    </cfRule>
    <cfRule type="expression" dxfId="328" priority="2069" stopIfTrue="1">
      <formula>$A21="file"</formula>
    </cfRule>
    <cfRule type="expression" dxfId="327" priority="2070" stopIfTrue="1">
      <formula>OR($A21="audio", $A21="video")</formula>
    </cfRule>
    <cfRule type="expression" dxfId="326" priority="2071" stopIfTrue="1">
      <formula>$A21="note"</formula>
    </cfRule>
    <cfRule type="expression" dxfId="325" priority="2072" stopIfTrue="1">
      <formula>$A21="barcode"</formula>
    </cfRule>
    <cfRule type="expression" dxfId="324" priority="2073" stopIfTrue="1">
      <formula>OR($A21="geopoint", $A21="geoshape", $A21="geotrace")</formula>
    </cfRule>
    <cfRule type="expression" dxfId="323" priority="2096" stopIfTrue="1">
      <formula>$A21="image"</formula>
    </cfRule>
  </conditionalFormatting>
  <conditionalFormatting sqref="L46:W47">
    <cfRule type="expression" dxfId="322" priority="2429" stopIfTrue="1">
      <formula>OR($A51="audio", $A51="video")</formula>
    </cfRule>
    <cfRule type="expression" dxfId="321" priority="2430" stopIfTrue="1">
      <formula>$A51="note"</formula>
    </cfRule>
    <cfRule type="expression" dxfId="320" priority="2431" stopIfTrue="1">
      <formula>$A51="barcode"</formula>
    </cfRule>
    <cfRule type="expression" dxfId="319" priority="2432" stopIfTrue="1">
      <formula>OR($A51="geopoint", $A51="geoshape", $A51="geotrace")</formula>
    </cfRule>
    <cfRule type="expression" dxfId="318" priority="2433" stopIfTrue="1">
      <formula>$A51="enumerator"</formula>
    </cfRule>
    <cfRule type="expression" dxfId="317" priority="2434" stopIfTrue="1">
      <formula>OR(AND(LEFT($A51, 14)="sensor_stream ", LEN($A51)&gt;14, NOT(ISNUMBER(SEARCH(" ", $A51, 15)))), AND(LEFT($A51, 17)="sensor_statistic ", LEN($A51)&gt;17, NOT(ISNUMBER(SEARCH(" ", $A51, 18)))))</formula>
    </cfRule>
    <cfRule type="expression" dxfId="316" priority="2435" stopIfTrue="1">
      <formula>$A51="image"</formula>
    </cfRule>
    <cfRule type="expression" dxfId="315" priority="2436" stopIfTrue="1">
      <formula>OR($A51="date", $A51="datetime", $A51="time")</formula>
    </cfRule>
    <cfRule type="expression" dxfId="314" priority="2437" stopIfTrue="1">
      <formula>OR($A51="audio audit", $A51="text audit", $A51="speed violations count", $A51="speed violations list", $A51="speed violations audit")</formula>
    </cfRule>
    <cfRule type="expression" dxfId="313" priority="2438" stopIfTrue="1">
      <formula>OR(AND(LEFT($A51, 16)="select_multiple ", LEN($A51)&gt;16, NOT(ISNUMBER(SEARCH(" ", $A51, 17)))), AND(LEFT($A51, 11)="select_one ", LEN($A51)&gt;11, NOT(ISNUMBER(SEARCH(" ", $A51, 12)))))</formula>
    </cfRule>
    <cfRule type="expression" dxfId="312" priority="2440" stopIfTrue="1">
      <formula>$A51="integer"</formula>
    </cfRule>
    <cfRule type="expression" dxfId="311" priority="2441" stopIfTrue="1">
      <formula>$A51="text"</formula>
    </cfRule>
    <cfRule type="expression" dxfId="310" priority="2442" stopIfTrue="1">
      <formula>$A51="begin group"</formula>
    </cfRule>
    <cfRule type="expression" dxfId="309" priority="2443" stopIfTrue="1">
      <formula>OR($A51="username", $A51="phonenumber", $A51="start", $A51="end", $A51="deviceid", $A51="subscriberid", $A51="simserial", $A51="caseid")</formula>
    </cfRule>
    <cfRule type="expression" dxfId="308" priority="2444" stopIfTrue="1">
      <formula>$A51="end repeat"</formula>
    </cfRule>
    <cfRule type="expression" dxfId="307" priority="2445" stopIfTrue="1">
      <formula>$A51="end group"</formula>
    </cfRule>
    <cfRule type="expression" dxfId="306" priority="2446" stopIfTrue="1">
      <formula>$A51="begin repeat"</formula>
    </cfRule>
    <cfRule type="expression" dxfId="305" priority="2447" stopIfTrue="1">
      <formula>OR($A51="calculate", $A51="calculate_here")</formula>
    </cfRule>
    <cfRule type="expression" dxfId="304" priority="2439" stopIfTrue="1">
      <formula>$A51="decimal"</formula>
    </cfRule>
    <cfRule type="expression" dxfId="303" priority="2427" stopIfTrue="1">
      <formula>$A51="comments"</formula>
    </cfRule>
    <cfRule type="expression" dxfId="302" priority="2428" stopIfTrue="1">
      <formula>$A51="file"</formula>
    </cfRule>
  </conditionalFormatting>
  <conditionalFormatting sqref="L48:W48 L138:W141 L160:W1048559">
    <cfRule type="expression" dxfId="301" priority="2339" stopIfTrue="1">
      <formula>OR($A52="calculate", $A52="calculate_here")</formula>
    </cfRule>
    <cfRule type="expression" dxfId="300" priority="2338" stopIfTrue="1">
      <formula>$A52="begin repeat"</formula>
    </cfRule>
    <cfRule type="expression" dxfId="299" priority="2325" stopIfTrue="1">
      <formula>$A52="enumerator"</formula>
    </cfRule>
    <cfRule type="expression" dxfId="298" priority="2337" stopIfTrue="1">
      <formula>$A52="end group"</formula>
    </cfRule>
    <cfRule type="expression" dxfId="297" priority="2336" stopIfTrue="1">
      <formula>$A52="end repeat"</formula>
    </cfRule>
    <cfRule type="expression" dxfId="296" priority="2323" stopIfTrue="1">
      <formula>$A52="barcode"</formula>
    </cfRule>
    <cfRule type="expression" dxfId="295" priority="2333" stopIfTrue="1">
      <formula>$A52="text"</formula>
    </cfRule>
    <cfRule type="expression" dxfId="294" priority="2334" stopIfTrue="1">
      <formula>$A52="begin group"</formula>
    </cfRule>
    <cfRule type="expression" dxfId="293" priority="2335" stopIfTrue="1">
      <formula>OR($A52="username", $A52="phonenumber", $A52="start", $A52="end", $A52="deviceid", $A52="subscriberid", $A52="simserial", $A52="caseid")</formula>
    </cfRule>
    <cfRule type="expression" dxfId="292" priority="2324" stopIfTrue="1">
      <formula>OR($A52="geopoint", $A52="geoshape", $A52="geotrace")</formula>
    </cfRule>
    <cfRule type="expression" dxfId="291" priority="2326" stopIfTrue="1">
      <formula>OR(AND(LEFT($A52, 14)="sensor_stream ", LEN($A52)&gt;14, NOT(ISNUMBER(SEARCH(" ", $A52, 15)))), AND(LEFT($A52, 17)="sensor_statistic ", LEN($A52)&gt;17, NOT(ISNUMBER(SEARCH(" ", $A52, 18)))))</formula>
    </cfRule>
    <cfRule type="expression" dxfId="290" priority="2327" stopIfTrue="1">
      <formula>$A52="image"</formula>
    </cfRule>
    <cfRule type="expression" dxfId="289" priority="2328" stopIfTrue="1">
      <formula>OR($A52="date", $A52="datetime", $A52="time")</formula>
    </cfRule>
    <cfRule type="expression" dxfId="288" priority="2329" stopIfTrue="1">
      <formula>OR($A52="audio audit", $A52="text audit", $A52="speed violations count", $A52="speed violations list", $A52="speed violations audit")</formula>
    </cfRule>
    <cfRule type="expression" dxfId="287" priority="2330" stopIfTrue="1">
      <formula>OR(AND(LEFT($A52, 16)="select_multiple ", LEN($A52)&gt;16, NOT(ISNUMBER(SEARCH(" ", $A52, 17)))), AND(LEFT($A52, 11)="select_one ", LEN($A52)&gt;11, NOT(ISNUMBER(SEARCH(" ", $A52, 12)))))</formula>
    </cfRule>
    <cfRule type="expression" dxfId="286" priority="2331" stopIfTrue="1">
      <formula>$A52="decimal"</formula>
    </cfRule>
    <cfRule type="expression" dxfId="285" priority="2332" stopIfTrue="1">
      <formula>$A52="integer"</formula>
    </cfRule>
    <cfRule type="expression" dxfId="284" priority="2319" stopIfTrue="1">
      <formula>$A52="comments"</formula>
    </cfRule>
    <cfRule type="expression" dxfId="283" priority="2320" stopIfTrue="1">
      <formula>$A52="file"</formula>
    </cfRule>
    <cfRule type="expression" dxfId="282" priority="2321" stopIfTrue="1">
      <formula>OR($A52="audio", $A52="video")</formula>
    </cfRule>
    <cfRule type="expression" dxfId="281" priority="2322" stopIfTrue="1">
      <formula>$A52="note"</formula>
    </cfRule>
  </conditionalFormatting>
  <conditionalFormatting sqref="L49:W50 L57:W58 L72:W75 L79:W87 L104:W106 L110:W121 L125:W131 L135:W137 L142:W152 L157:W159">
    <cfRule type="expression" dxfId="280" priority="2195" stopIfTrue="1">
      <formula>OR(AND(LEFT($A52, 16)="select_multiple ", LEN($A52)&gt;16, NOT(ISNUMBER(SEARCH(" ", $A52, 17)))), AND(LEFT($A52, 11)="select_one ", LEN($A52)&gt;11, NOT(ISNUMBER(SEARCH(" ", $A52, 12)))))</formula>
    </cfRule>
    <cfRule type="expression" dxfId="279" priority="2199" stopIfTrue="1">
      <formula>$A52="begin group"</formula>
    </cfRule>
    <cfRule type="expression" dxfId="278" priority="2198" stopIfTrue="1">
      <formula>$A52="text"</formula>
    </cfRule>
    <cfRule type="expression" dxfId="277" priority="2197" stopIfTrue="1">
      <formula>$A52="integer"</formula>
    </cfRule>
    <cfRule type="expression" dxfId="276" priority="2196" stopIfTrue="1">
      <formula>$A52="decimal"</formula>
    </cfRule>
    <cfRule type="expression" dxfId="275" priority="2184" stopIfTrue="1">
      <formula>$A52="comments"</formula>
    </cfRule>
    <cfRule type="expression" dxfId="274" priority="2194" stopIfTrue="1">
      <formula>OR($A52="audio audit", $A52="text audit", $A52="speed violations count", $A52="speed violations list", $A52="speed violations audit")</formula>
    </cfRule>
    <cfRule type="expression" dxfId="273" priority="2193" stopIfTrue="1">
      <formula>OR($A52="date", $A52="datetime", $A52="time")</formula>
    </cfRule>
    <cfRule type="expression" dxfId="272" priority="2192" stopIfTrue="1">
      <formula>$A52="image"</formula>
    </cfRule>
    <cfRule type="expression" dxfId="271" priority="2191" stopIfTrue="1">
      <formula>OR(AND(LEFT($A52, 14)="sensor_stream ", LEN($A52)&gt;14, NOT(ISNUMBER(SEARCH(" ", $A52, 15)))), AND(LEFT($A52, 17)="sensor_statistic ", LEN($A52)&gt;17, NOT(ISNUMBER(SEARCH(" ", $A52, 18)))))</formula>
    </cfRule>
    <cfRule type="expression" dxfId="270" priority="2190" stopIfTrue="1">
      <formula>$A52="enumerator"</formula>
    </cfRule>
    <cfRule type="expression" dxfId="269" priority="2189" stopIfTrue="1">
      <formula>OR($A52="geopoint", $A52="geoshape", $A52="geotrace")</formula>
    </cfRule>
    <cfRule type="expression" dxfId="268" priority="2200" stopIfTrue="1">
      <formula>OR($A52="username", $A52="phonenumber", $A52="start", $A52="end", $A52="deviceid", $A52="subscriberid", $A52="simserial", $A52="caseid")</formula>
    </cfRule>
    <cfRule type="expression" dxfId="267" priority="2202" stopIfTrue="1">
      <formula>$A52="end group"</formula>
    </cfRule>
    <cfRule type="expression" dxfId="266" priority="2203" stopIfTrue="1">
      <formula>$A52="begin repeat"</formula>
    </cfRule>
    <cfRule type="expression" dxfId="265" priority="2185" stopIfTrue="1">
      <formula>$A52="file"</formula>
    </cfRule>
    <cfRule type="expression" dxfId="264" priority="2188" stopIfTrue="1">
      <formula>$A52="barcode"</formula>
    </cfRule>
    <cfRule type="expression" dxfId="263" priority="2201" stopIfTrue="1">
      <formula>$A52="end repeat"</formula>
    </cfRule>
    <cfRule type="expression" dxfId="262" priority="2187" stopIfTrue="1">
      <formula>$A52="note"</formula>
    </cfRule>
    <cfRule type="expression" dxfId="261" priority="2186" stopIfTrue="1">
      <formula>OR($A52="audio", $A52="video")</formula>
    </cfRule>
    <cfRule type="expression" dxfId="260" priority="2204" stopIfTrue="1">
      <formula>OR($A52="calculate", $A52="calculate_here")</formula>
    </cfRule>
  </conditionalFormatting>
  <conditionalFormatting sqref="L62:W62 L71:W71 L76:W78 L88:W88 L107:W109 L122:W124 L132:W132 L153:W153 L156:W156">
    <cfRule type="expression" dxfId="259" priority="3072" stopIfTrue="1">
      <formula>OR(#REF!="audio audit", #REF!="text audit", #REF!="speed violations count", #REF!="speed violations list", #REF!="speed violations audit")</formula>
    </cfRule>
    <cfRule type="expression" dxfId="258" priority="3071" stopIfTrue="1">
      <formula>OR(#REF!="date", #REF!="datetime", #REF!="time")</formula>
    </cfRule>
    <cfRule type="expression" dxfId="257" priority="3070" stopIfTrue="1">
      <formula>#REF!="image"</formula>
    </cfRule>
    <cfRule type="expression" dxfId="256" priority="3069" stopIfTrue="1">
      <formula>OR(AND(LEFT(#REF!, 14)="sensor_stream ", LEN(#REF!)&gt;14, NOT(ISNUMBER(SEARCH(" ", #REF!, 15)))), AND(LEFT(#REF!, 17)="sensor_statistic ", LEN(#REF!)&gt;17, NOT(ISNUMBER(SEARCH(" ", #REF!, 18)))))</formula>
    </cfRule>
    <cfRule type="expression" dxfId="255" priority="3068" stopIfTrue="1">
      <formula>#REF!="enumerator"</formula>
    </cfRule>
    <cfRule type="expression" dxfId="254" priority="3067" stopIfTrue="1">
      <formula>OR(#REF!="geopoint", #REF!="geoshape", #REF!="geotrace")</formula>
    </cfRule>
    <cfRule type="expression" dxfId="253" priority="3066" stopIfTrue="1">
      <formula>#REF!="barcode"</formula>
    </cfRule>
    <cfRule type="expression" dxfId="252" priority="3065" stopIfTrue="1">
      <formula>#REF!="note"</formula>
    </cfRule>
    <cfRule type="expression" dxfId="251" priority="3064" stopIfTrue="1">
      <formula>OR(#REF!="audio", #REF!="video")</formula>
    </cfRule>
    <cfRule type="expression" dxfId="250" priority="3063" stopIfTrue="1">
      <formula>#REF!="file"</formula>
    </cfRule>
    <cfRule type="expression" dxfId="249" priority="3074" stopIfTrue="1">
      <formula>#REF!="decimal"</formula>
    </cfRule>
    <cfRule type="expression" dxfId="248" priority="3062" stopIfTrue="1">
      <formula>#REF!="comments"</formula>
    </cfRule>
    <cfRule type="expression" dxfId="247" priority="3079" stopIfTrue="1">
      <formula>#REF!="end repeat"</formula>
    </cfRule>
    <cfRule type="expression" dxfId="246" priority="3082" stopIfTrue="1">
      <formula>OR(#REF!="calculate", #REF!="calculate_here")</formula>
    </cfRule>
    <cfRule type="expression" dxfId="245" priority="3081" stopIfTrue="1">
      <formula>#REF!="begin repeat"</formula>
    </cfRule>
    <cfRule type="expression" dxfId="244" priority="3080" stopIfTrue="1">
      <formula>#REF!="end group"</formula>
    </cfRule>
    <cfRule type="expression" dxfId="243" priority="3078" stopIfTrue="1">
      <formula>OR(#REF!="username", #REF!="phonenumber", #REF!="start", #REF!="end", #REF!="deviceid", #REF!="subscriberid", #REF!="simserial", #REF!="caseid")</formula>
    </cfRule>
    <cfRule type="expression" dxfId="242" priority="3077" stopIfTrue="1">
      <formula>#REF!="begin group"</formula>
    </cfRule>
    <cfRule type="expression" dxfId="241" priority="3076" stopIfTrue="1">
      <formula>#REF!="text"</formula>
    </cfRule>
    <cfRule type="expression" dxfId="240" priority="3075" stopIfTrue="1">
      <formula>#REF!="integer"</formula>
    </cfRule>
    <cfRule type="expression" dxfId="239" priority="3073" stopIfTrue="1">
      <formula>OR(AND(LEFT(#REF!, 16)="select_multiple ", LEN(#REF!)&gt;16, NOT(ISNUMBER(SEARCH(" ", #REF!, 17)))), AND(LEFT(#REF!, 11)="select_one ", LEN(#REF!)&gt;11, NOT(ISNUMBER(SEARCH(" ", #REF!, 12)))))</formula>
    </cfRule>
  </conditionalFormatting>
  <conditionalFormatting sqref="L91:W92">
    <cfRule type="expression" dxfId="238" priority="3367" stopIfTrue="1">
      <formula>OR($A99="audio", $A99="video")</formula>
    </cfRule>
    <cfRule type="expression" dxfId="237" priority="3380" stopIfTrue="1">
      <formula>$A99="begin group"</formula>
    </cfRule>
    <cfRule type="expression" dxfId="236" priority="3365" stopIfTrue="1">
      <formula>$A99="comments"</formula>
    </cfRule>
    <cfRule type="expression" dxfId="235" priority="3366" stopIfTrue="1">
      <formula>$A99="file"</formula>
    </cfRule>
    <cfRule type="expression" dxfId="234" priority="3368" stopIfTrue="1">
      <formula>$A99="note"</formula>
    </cfRule>
    <cfRule type="expression" dxfId="233" priority="3374" stopIfTrue="1">
      <formula>OR($A99="date", $A99="datetime", $A99="time")</formula>
    </cfRule>
    <cfRule type="expression" dxfId="232" priority="3369" stopIfTrue="1">
      <formula>$A99="barcode"</formula>
    </cfRule>
    <cfRule type="expression" dxfId="231" priority="3370" stopIfTrue="1">
      <formula>OR($A99="geopoint", $A99="geoshape", $A99="geotrace")</formula>
    </cfRule>
    <cfRule type="expression" dxfId="230" priority="3371" stopIfTrue="1">
      <formula>$A99="enumerator"</formula>
    </cfRule>
    <cfRule type="expression" dxfId="229" priority="3372" stopIfTrue="1">
      <formula>OR(AND(LEFT($A99, 14)="sensor_stream ", LEN($A99)&gt;14, NOT(ISNUMBER(SEARCH(" ", $A99, 15)))), AND(LEFT($A99, 17)="sensor_statistic ", LEN($A99)&gt;17, NOT(ISNUMBER(SEARCH(" ", $A99, 18)))))</formula>
    </cfRule>
    <cfRule type="expression" dxfId="228" priority="3373" stopIfTrue="1">
      <formula>$A99="image"</formula>
    </cfRule>
    <cfRule type="expression" dxfId="227" priority="3375" stopIfTrue="1">
      <formula>OR($A99="audio audit", $A99="text audit", $A99="speed violations count", $A99="speed violations list", $A99="speed violations audit")</formula>
    </cfRule>
    <cfRule type="expression" dxfId="226" priority="3376" stopIfTrue="1">
      <formula>OR(AND(LEFT($A99, 16)="select_multiple ", LEN($A99)&gt;16, NOT(ISNUMBER(SEARCH(" ", $A99, 17)))), AND(LEFT($A99, 11)="select_one ", LEN($A99)&gt;11, NOT(ISNUMBER(SEARCH(" ", $A99, 12)))))</formula>
    </cfRule>
    <cfRule type="expression" dxfId="225" priority="3377" stopIfTrue="1">
      <formula>$A99="decimal"</formula>
    </cfRule>
    <cfRule type="expression" dxfId="224" priority="3378" stopIfTrue="1">
      <formula>$A99="integer"</formula>
    </cfRule>
    <cfRule type="expression" dxfId="223" priority="3379" stopIfTrue="1">
      <formula>$A99="text"</formula>
    </cfRule>
    <cfRule type="expression" dxfId="222" priority="3381" stopIfTrue="1">
      <formula>OR($A99="username", $A99="phonenumber", $A99="start", $A99="end", $A99="deviceid", $A99="subscriberid", $A99="simserial", $A99="caseid")</formula>
    </cfRule>
    <cfRule type="expression" dxfId="221" priority="3385" stopIfTrue="1">
      <formula>OR($A99="calculate", $A99="calculate_here")</formula>
    </cfRule>
    <cfRule type="expression" dxfId="220" priority="3384" stopIfTrue="1">
      <formula>$A99="begin repeat"</formula>
    </cfRule>
    <cfRule type="expression" dxfId="219" priority="3383" stopIfTrue="1">
      <formula>$A99="end group"</formula>
    </cfRule>
    <cfRule type="expression" dxfId="218" priority="3382" stopIfTrue="1">
      <formula>$A99="end repeat"</formula>
    </cfRule>
  </conditionalFormatting>
  <conditionalFormatting sqref="L93:W97">
    <cfRule type="expression" dxfId="217" priority="5629" stopIfTrue="1">
      <formula>$A104="enumerator"</formula>
    </cfRule>
    <cfRule type="expression" dxfId="216" priority="5632" stopIfTrue="1">
      <formula>OR($A104="date", $A104="datetime", $A104="time")</formula>
    </cfRule>
    <cfRule type="expression" dxfId="215" priority="5638" stopIfTrue="1">
      <formula>$A104="begin group"</formula>
    </cfRule>
    <cfRule type="expression" dxfId="214" priority="5637" stopIfTrue="1">
      <formula>$A104="text"</formula>
    </cfRule>
    <cfRule type="expression" dxfId="213" priority="5631" stopIfTrue="1">
      <formula>$A104="image"</formula>
    </cfRule>
    <cfRule type="expression" dxfId="212" priority="5630" stopIfTrue="1">
      <formula>OR(AND(LEFT($A104, 14)="sensor_stream ", LEN($A104)&gt;14, NOT(ISNUMBER(SEARCH(" ", $A104, 15)))), AND(LEFT($A104, 17)="sensor_statistic ", LEN($A104)&gt;17, NOT(ISNUMBER(SEARCH(" ", $A104, 18)))))</formula>
    </cfRule>
    <cfRule type="expression" dxfId="211" priority="5639" stopIfTrue="1">
      <formula>OR($A104="username", $A104="phonenumber", $A104="start", $A104="end", $A104="deviceid", $A104="subscriberid", $A104="simserial", $A104="caseid")</formula>
    </cfRule>
    <cfRule type="expression" dxfId="210" priority="5624" stopIfTrue="1">
      <formula>$A104="file"</formula>
    </cfRule>
    <cfRule type="expression" dxfId="209" priority="5640" stopIfTrue="1">
      <formula>$A104="end repeat"</formula>
    </cfRule>
    <cfRule type="expression" dxfId="208" priority="5641" stopIfTrue="1">
      <formula>$A104="end group"</formula>
    </cfRule>
    <cfRule type="expression" dxfId="207" priority="5628" stopIfTrue="1">
      <formula>OR($A104="geopoint", $A104="geoshape", $A104="geotrace")</formula>
    </cfRule>
    <cfRule type="expression" dxfId="206" priority="5643" stopIfTrue="1">
      <formula>OR($A104="calculate", $A104="calculate_here")</formula>
    </cfRule>
    <cfRule type="expression" dxfId="205" priority="5636" stopIfTrue="1">
      <formula>$A104="integer"</formula>
    </cfRule>
    <cfRule type="expression" dxfId="204" priority="5635" stopIfTrue="1">
      <formula>$A104="decimal"</formula>
    </cfRule>
    <cfRule type="expression" dxfId="203" priority="5634" stopIfTrue="1">
      <formula>OR(AND(LEFT($A104, 16)="select_multiple ", LEN($A104)&gt;16, NOT(ISNUMBER(SEARCH(" ", $A104, 17)))), AND(LEFT($A104, 11)="select_one ", LEN($A104)&gt;11, NOT(ISNUMBER(SEARCH(" ", $A104, 12)))))</formula>
    </cfRule>
    <cfRule type="expression" dxfId="202" priority="5642" stopIfTrue="1">
      <formula>$A104="begin repeat"</formula>
    </cfRule>
    <cfRule type="expression" dxfId="201" priority="5627" stopIfTrue="1">
      <formula>$A104="barcode"</formula>
    </cfRule>
    <cfRule type="expression" dxfId="200" priority="5626" stopIfTrue="1">
      <formula>$A104="note"</formula>
    </cfRule>
    <cfRule type="expression" dxfId="199" priority="5625" stopIfTrue="1">
      <formula>OR($A104="audio", $A104="video")</formula>
    </cfRule>
    <cfRule type="expression" dxfId="198" priority="5623" stopIfTrue="1">
      <formula>$A104="comments"</formula>
    </cfRule>
    <cfRule type="expression" dxfId="197" priority="5633" stopIfTrue="1">
      <formula>OR($A104="audio audit", $A104="text audit", $A104="speed violations count", $A104="speed violations list", $A104="speed violations audit")</formula>
    </cfRule>
  </conditionalFormatting>
  <conditionalFormatting sqref="L98:W103">
    <cfRule type="expression" dxfId="196" priority="5731" stopIfTrue="1">
      <formula>OR($A104="calculate", $A104="calculate_here")</formula>
    </cfRule>
    <cfRule type="expression" dxfId="195" priority="5719" stopIfTrue="1">
      <formula>$A104="image"</formula>
    </cfRule>
    <cfRule type="expression" dxfId="194" priority="5714" stopIfTrue="1">
      <formula>$A104="note"</formula>
    </cfRule>
    <cfRule type="expression" dxfId="193" priority="5711" stopIfTrue="1">
      <formula>$A104="comments"</formula>
    </cfRule>
    <cfRule type="expression" dxfId="192" priority="5712" stopIfTrue="1">
      <formula>$A104="file"</formula>
    </cfRule>
    <cfRule type="expression" dxfId="191" priority="5713" stopIfTrue="1">
      <formula>OR($A104="audio", $A104="video")</formula>
    </cfRule>
    <cfRule type="expression" dxfId="190" priority="5715" stopIfTrue="1">
      <formula>$A104="barcode"</formula>
    </cfRule>
    <cfRule type="expression" dxfId="189" priority="5716" stopIfTrue="1">
      <formula>OR($A104="geopoint", $A104="geoshape", $A104="geotrace")</formula>
    </cfRule>
    <cfRule type="expression" dxfId="188" priority="5717" stopIfTrue="1">
      <formula>$A104="enumerator"</formula>
    </cfRule>
    <cfRule type="expression" dxfId="187" priority="5718" stopIfTrue="1">
      <formula>OR(AND(LEFT($A104, 14)="sensor_stream ", LEN($A104)&gt;14, NOT(ISNUMBER(SEARCH(" ", $A104, 15)))), AND(LEFT($A104, 17)="sensor_statistic ", LEN($A104)&gt;17, NOT(ISNUMBER(SEARCH(" ", $A104, 18)))))</formula>
    </cfRule>
    <cfRule type="expression" dxfId="186" priority="5720" stopIfTrue="1">
      <formula>OR($A104="date", $A104="datetime", $A104="time")</formula>
    </cfRule>
    <cfRule type="expression" dxfId="185" priority="5721" stopIfTrue="1">
      <formula>OR($A104="audio audit", $A104="text audit", $A104="speed violations count", $A104="speed violations list", $A104="speed violations audit")</formula>
    </cfRule>
    <cfRule type="expression" dxfId="184" priority="5722" stopIfTrue="1">
      <formula>OR(AND(LEFT($A104, 16)="select_multiple ", LEN($A104)&gt;16, NOT(ISNUMBER(SEARCH(" ", $A104, 17)))), AND(LEFT($A104, 11)="select_one ", LEN($A104)&gt;11, NOT(ISNUMBER(SEARCH(" ", $A104, 12)))))</formula>
    </cfRule>
    <cfRule type="expression" dxfId="183" priority="5723" stopIfTrue="1">
      <formula>$A104="decimal"</formula>
    </cfRule>
    <cfRule type="expression" dxfId="182" priority="5724" stopIfTrue="1">
      <formula>$A104="integer"</formula>
    </cfRule>
    <cfRule type="expression" dxfId="181" priority="5725" stopIfTrue="1">
      <formula>$A104="text"</formula>
    </cfRule>
    <cfRule type="expression" dxfId="180" priority="5726" stopIfTrue="1">
      <formula>$A104="begin group"</formula>
    </cfRule>
    <cfRule type="expression" dxfId="179" priority="5727" stopIfTrue="1">
      <formula>OR($A104="username", $A104="phonenumber", $A104="start", $A104="end", $A104="deviceid", $A104="subscriberid", $A104="simserial", $A104="caseid")</formula>
    </cfRule>
    <cfRule type="expression" dxfId="178" priority="5728" stopIfTrue="1">
      <formula>$A104="end repeat"</formula>
    </cfRule>
    <cfRule type="expression" dxfId="177" priority="5729" stopIfTrue="1">
      <formula>$A104="end group"</formula>
    </cfRule>
    <cfRule type="expression" dxfId="176" priority="5730" stopIfTrue="1">
      <formula>$A104="begin repeat"</formula>
    </cfRule>
  </conditionalFormatting>
  <conditionalFormatting sqref="L1048560:W1048576">
    <cfRule type="expression" dxfId="175" priority="6407" stopIfTrue="1">
      <formula>OR($A1="audio audit", $A1="text audit", $A1="speed violations count", $A1="speed violations list", $A1="speed violations audit")</formula>
    </cfRule>
    <cfRule type="expression" dxfId="174" priority="6402" stopIfTrue="1">
      <formula>OR($A1="geopoint", $A1="geoshape", $A1="geotrace")</formula>
    </cfRule>
    <cfRule type="expression" dxfId="173" priority="6404" stopIfTrue="1">
      <formula>OR(AND(LEFT($A1, 14)="sensor_stream ", LEN($A1)&gt;14, NOT(ISNUMBER(SEARCH(" ", $A1, 15)))), AND(LEFT($A1, 17)="sensor_statistic ", LEN($A1)&gt;17, NOT(ISNUMBER(SEARCH(" ", $A1, 18)))))</formula>
    </cfRule>
    <cfRule type="expression" dxfId="172" priority="6401" stopIfTrue="1">
      <formula>$A1="barcode"</formula>
    </cfRule>
    <cfRule type="expression" dxfId="171" priority="6400" stopIfTrue="1">
      <formula>$A1="note"</formula>
    </cfRule>
    <cfRule type="expression" dxfId="170" priority="6398" stopIfTrue="1">
      <formula>$A1="file"</formula>
    </cfRule>
    <cfRule type="expression" dxfId="169" priority="6405" stopIfTrue="1">
      <formula>$A1="image"</formula>
    </cfRule>
    <cfRule type="expression" dxfId="168" priority="6406" stopIfTrue="1">
      <formula>OR($A1="date", $A1="datetime", $A1="time")</formula>
    </cfRule>
    <cfRule type="expression" dxfId="167" priority="6397" stopIfTrue="1">
      <formula>$A1="comments"</formula>
    </cfRule>
    <cfRule type="expression" dxfId="166" priority="6408" stopIfTrue="1">
      <formula>OR(AND(LEFT($A1, 16)="select_multiple ", LEN($A1)&gt;16, NOT(ISNUMBER(SEARCH(" ", $A1, 17)))), AND(LEFT($A1, 11)="select_one ", LEN($A1)&gt;11, NOT(ISNUMBER(SEARCH(" ", $A1, 12)))))</formula>
    </cfRule>
    <cfRule type="expression" dxfId="165" priority="6409" stopIfTrue="1">
      <formula>$A1="decimal"</formula>
    </cfRule>
    <cfRule type="expression" dxfId="164" priority="6410" stopIfTrue="1">
      <formula>$A1="integer"</formula>
    </cfRule>
    <cfRule type="expression" dxfId="163" priority="6411" stopIfTrue="1">
      <formula>$A1="text"</formula>
    </cfRule>
    <cfRule type="expression" dxfId="162" priority="6412" stopIfTrue="1">
      <formula>$A1="begin group"</formula>
    </cfRule>
    <cfRule type="expression" dxfId="161" priority="6413" stopIfTrue="1">
      <formula>OR($A1="username", $A1="phonenumber", $A1="start", $A1="end", $A1="deviceid", $A1="subscriberid", $A1="simserial", $A1="caseid")</formula>
    </cfRule>
    <cfRule type="expression" dxfId="160" priority="6414" stopIfTrue="1">
      <formula>$A1="end repeat"</formula>
    </cfRule>
    <cfRule type="expression" dxfId="159" priority="6415" stopIfTrue="1">
      <formula>$A1="end group"</formula>
    </cfRule>
    <cfRule type="expression" dxfId="158" priority="6399" stopIfTrue="1">
      <formula>OR($A1="audio", $A1="video")</formula>
    </cfRule>
    <cfRule type="expression" dxfId="157" priority="6417" stopIfTrue="1">
      <formula>OR($A1="calculate", $A1="calculate_here")</formula>
    </cfRule>
    <cfRule type="expression" dxfId="156" priority="6416" stopIfTrue="1">
      <formula>$A1="begin repeat"</formula>
    </cfRule>
    <cfRule type="expression" dxfId="155" priority="6403" stopIfTrue="1">
      <formula>$A1="enumerator"</formula>
    </cfRule>
  </conditionalFormatting>
  <conditionalFormatting sqref="N1:N14 B1:B61 B63:B118 B120:B1048576">
    <cfRule type="expression" dxfId="154" priority="297" stopIfTrue="1">
      <formula>OR($A1="calculate", $A1="calculate_here")</formula>
    </cfRule>
  </conditionalFormatting>
  <conditionalFormatting sqref="N15 N24 N35">
    <cfRule type="expression" dxfId="153" priority="1985" stopIfTrue="1">
      <formula>OR(#REF!="calculate", #REF!="calculate_here")</formula>
    </cfRule>
  </conditionalFormatting>
  <conditionalFormatting sqref="N16:N18 N21:N23 N25:N34 N36:N45 N51:N56 N59:N61 N63:N70">
    <cfRule type="expression" dxfId="152" priority="1685" stopIfTrue="1">
      <formula>OR($A17="calculate", $A17="calculate_here")</formula>
    </cfRule>
  </conditionalFormatting>
  <conditionalFormatting sqref="N19:N20 N89:N90 N133:N134 N154:N155">
    <cfRule type="expression" dxfId="151" priority="2121" stopIfTrue="1">
      <formula>OR($A21="calculate", $A21="calculate_here")</formula>
    </cfRule>
  </conditionalFormatting>
  <conditionalFormatting sqref="N46:N47">
    <cfRule type="expression" dxfId="150" priority="2469" stopIfTrue="1">
      <formula>OR($A51="calculate", $A51="calculate_here")</formula>
    </cfRule>
  </conditionalFormatting>
  <conditionalFormatting sqref="N48 N138:N141 N160:N1048559">
    <cfRule type="expression" dxfId="149" priority="2361" stopIfTrue="1">
      <formula>OR($A52="calculate", $A52="calculate_here")</formula>
    </cfRule>
  </conditionalFormatting>
  <conditionalFormatting sqref="N49:N50 N57:N58 N72:N75 N79:N87 N104:N106 N110:N121 N125:N131 N135:N137 N142:N152 N157:N159">
    <cfRule type="expression" dxfId="148" priority="2227" stopIfTrue="1">
      <formula>OR($A52="calculate", $A52="calculate_here")</formula>
    </cfRule>
  </conditionalFormatting>
  <conditionalFormatting sqref="N62 N71 N76:N78 N88 N107:N109 N122:N124 N132 N153 N156">
    <cfRule type="expression" dxfId="147" priority="3089" stopIfTrue="1">
      <formula>OR(#REF!="calculate", #REF!="calculate_here")</formula>
    </cfRule>
  </conditionalFormatting>
  <conditionalFormatting sqref="N91:N92">
    <cfRule type="expression" dxfId="146" priority="3393" stopIfTrue="1">
      <formula>OR($A99="calculate", $A99="calculate_here")</formula>
    </cfRule>
  </conditionalFormatting>
  <conditionalFormatting sqref="N93:N97">
    <cfRule type="expression" dxfId="145" priority="5645" stopIfTrue="1">
      <formula>OR($A104="calculate", $A104="calculate_here")</formula>
    </cfRule>
  </conditionalFormatting>
  <conditionalFormatting sqref="N98:N103">
    <cfRule type="expression" dxfId="144" priority="5732" stopIfTrue="1">
      <formula>OR($A104="calculate", $A104="calculate_here")</formula>
    </cfRule>
  </conditionalFormatting>
  <conditionalFormatting sqref="N1048560:N1048576">
    <cfRule type="expression" dxfId="143" priority="6418" stopIfTrue="1">
      <formula>OR($A1="calculate", $A1="calculate_here")</formula>
    </cfRule>
  </conditionalFormatting>
  <conditionalFormatting sqref="O1:O14 B1:C41 I1:I71 B42 B43:C51 B52:B53 B54:C60 B61 C62 B63:C63 B64 B65:C65 B66:B69 B70:C70 B71 B72:C74 B75:B76 B77:C81 B82 B83:C83 B84 B85:C94 B95:B97 B98:C110 B111 B112:C118 C119 B120:C1048576 I171 I175">
    <cfRule type="expression" dxfId="142" priority="327" stopIfTrue="1">
      <formula>$A1="begin repeat"</formula>
    </cfRule>
  </conditionalFormatting>
  <conditionalFormatting sqref="O15 O24 O35">
    <cfRule type="expression" dxfId="141" priority="1988" stopIfTrue="1">
      <formula>#REF!="begin repeat"</formula>
    </cfRule>
  </conditionalFormatting>
  <conditionalFormatting sqref="O16:O18 O21:O23 O25:O34 O36:O45 O51:O56 O59:O61 O63:O70 I134 I155">
    <cfRule type="expression" dxfId="140" priority="1729" stopIfTrue="1">
      <formula>$A17="begin repeat"</formula>
    </cfRule>
  </conditionalFormatting>
  <conditionalFormatting sqref="O19:O20 O89:O90 O133:O134 O154:O155 I72 I74:I76 I79 I81:I88 I98 I104 I106:I107 I110 I112:I119 I121:I122 I125:I132 I135:I138 I142:I153 I156 I158:I159">
    <cfRule type="expression" dxfId="139" priority="2124" stopIfTrue="1">
      <formula>$A21="begin repeat"</formula>
    </cfRule>
  </conditionalFormatting>
  <conditionalFormatting sqref="O46:O47 I99:I101">
    <cfRule type="expression" dxfId="138" priority="2471" stopIfTrue="1">
      <formula>$A51="begin repeat"</formula>
    </cfRule>
  </conditionalFormatting>
  <conditionalFormatting sqref="O48 O138:O141 O160:O1048559">
    <cfRule type="expression" dxfId="137" priority="2363" stopIfTrue="1">
      <formula>$A52="begin repeat"</formula>
    </cfRule>
  </conditionalFormatting>
  <conditionalFormatting sqref="O49:O50 O57:O58 O72:O75 O79:O87 O104:O106 O110:O121 O125:O131 O135:O137 O142:O152 O157:O159 I102:I103 I139:I141 I160:I167 I169:I170 I173:I174 I176:I1048568">
    <cfRule type="expression" dxfId="136" priority="2232" stopIfTrue="1">
      <formula>$A52="begin repeat"</formula>
    </cfRule>
  </conditionalFormatting>
  <conditionalFormatting sqref="O62 O71 O76:O78 O88 O107:O109 O122:O124 O132 O153 O156 I77:I78 I89 I108:I109 I133 I154 I157">
    <cfRule type="expression" dxfId="135" priority="3099" stopIfTrue="1">
      <formula>#REF!="begin repeat"</formula>
    </cfRule>
  </conditionalFormatting>
  <conditionalFormatting sqref="O91:O92 I1048569:I1048576">
    <cfRule type="expression" dxfId="134" priority="3405" stopIfTrue="1">
      <formula>$A99="begin repeat"</formula>
    </cfRule>
  </conditionalFormatting>
  <conditionalFormatting sqref="O93:O97">
    <cfRule type="expression" dxfId="133" priority="5647" stopIfTrue="1">
      <formula>$A104="begin repeat"</formula>
    </cfRule>
  </conditionalFormatting>
  <conditionalFormatting sqref="O98:O103">
    <cfRule type="expression" dxfId="132" priority="5800" stopIfTrue="1">
      <formula>$A104="begin repeat"</formula>
    </cfRule>
  </conditionalFormatting>
  <conditionalFormatting sqref="O1048560:O1048576">
    <cfRule type="expression" dxfId="131" priority="6419" stopIfTrue="1">
      <formula>$A1="begin repeat"</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23"/>
  <sheetViews>
    <sheetView tabSelected="1" zoomScale="120" zoomScaleNormal="120" zoomScalePageLayoutView="75" workbookViewId="0">
      <pane ySplit="1" topLeftCell="A408" activePane="bottomLeft" state="frozen"/>
      <selection pane="bottomLeft" activeCell="D416" sqref="D416"/>
    </sheetView>
  </sheetViews>
  <sheetFormatPr defaultColWidth="10.83203125" defaultRowHeight="15.5"/>
  <cols>
    <col min="1" max="1" width="28.5" style="14" bestFit="1" customWidth="1" collapsed="1"/>
    <col min="2" max="2" width="14.5" style="14" customWidth="1" collapsed="1"/>
    <col min="3" max="3" width="39.6640625" style="14" customWidth="1" collapsed="1"/>
    <col min="4" max="5" width="10.83203125" style="14" collapsed="1"/>
    <col min="6" max="16384" width="10.83203125" style="1" collapsed="1"/>
  </cols>
  <sheetData>
    <row r="1" spans="1:5" s="3" customFormat="1" ht="18" customHeight="1">
      <c r="A1" s="11" t="s">
        <v>17</v>
      </c>
      <c r="B1" s="11" t="s">
        <v>242</v>
      </c>
      <c r="C1" s="12" t="s">
        <v>16</v>
      </c>
      <c r="D1" s="11" t="s">
        <v>18</v>
      </c>
      <c r="E1" s="11" t="s">
        <v>35</v>
      </c>
    </row>
    <row r="2" spans="1:5">
      <c r="A2" s="14" t="s">
        <v>21</v>
      </c>
      <c r="B2" s="14" t="s">
        <v>358</v>
      </c>
      <c r="C2" s="15" t="s">
        <v>22</v>
      </c>
    </row>
    <row r="3" spans="1:5">
      <c r="A3" s="15" t="s">
        <v>21</v>
      </c>
      <c r="B3" s="14" t="s">
        <v>359</v>
      </c>
      <c r="C3" s="15" t="s">
        <v>23</v>
      </c>
    </row>
    <row r="4" spans="1:5">
      <c r="A4" s="15" t="s">
        <v>360</v>
      </c>
      <c r="B4" t="s">
        <v>358</v>
      </c>
      <c r="C4" t="s">
        <v>361</v>
      </c>
    </row>
    <row r="5" spans="1:5">
      <c r="A5" s="15" t="s">
        <v>360</v>
      </c>
      <c r="B5" t="s">
        <v>362</v>
      </c>
      <c r="C5" t="s">
        <v>363</v>
      </c>
    </row>
    <row r="6" spans="1:5">
      <c r="A6" s="15" t="s">
        <v>378</v>
      </c>
      <c r="B6" t="s">
        <v>358</v>
      </c>
      <c r="C6" t="s">
        <v>379</v>
      </c>
    </row>
    <row r="7" spans="1:5">
      <c r="A7" s="15" t="s">
        <v>378</v>
      </c>
      <c r="B7" t="s">
        <v>362</v>
      </c>
      <c r="C7" t="s">
        <v>380</v>
      </c>
    </row>
    <row r="8" spans="1:5">
      <c r="A8" s="15" t="s">
        <v>383</v>
      </c>
      <c r="B8" t="s">
        <v>358</v>
      </c>
      <c r="C8" t="s">
        <v>384</v>
      </c>
    </row>
    <row r="9" spans="1:5">
      <c r="A9" s="15" t="s">
        <v>383</v>
      </c>
      <c r="B9" t="s">
        <v>362</v>
      </c>
      <c r="C9" t="s">
        <v>385</v>
      </c>
    </row>
    <row r="10" spans="1:5">
      <c r="A10" s="15" t="s">
        <v>383</v>
      </c>
      <c r="B10" s="80" t="s">
        <v>392</v>
      </c>
      <c r="C10" t="s">
        <v>824</v>
      </c>
    </row>
    <row r="11" spans="1:5">
      <c r="A11" s="15" t="s">
        <v>389</v>
      </c>
      <c r="B11" t="s">
        <v>358</v>
      </c>
      <c r="C11" t="s">
        <v>390</v>
      </c>
    </row>
    <row r="12" spans="1:5">
      <c r="A12" s="15" t="s">
        <v>389</v>
      </c>
      <c r="B12" t="s">
        <v>362</v>
      </c>
      <c r="C12" t="s">
        <v>391</v>
      </c>
    </row>
    <row r="13" spans="1:5">
      <c r="A13" s="15" t="s">
        <v>389</v>
      </c>
      <c r="B13" t="s">
        <v>392</v>
      </c>
      <c r="C13" t="s">
        <v>393</v>
      </c>
    </row>
    <row r="14" spans="1:5">
      <c r="A14" s="15" t="s">
        <v>389</v>
      </c>
      <c r="B14" t="s">
        <v>394</v>
      </c>
      <c r="C14" t="s">
        <v>395</v>
      </c>
    </row>
    <row r="15" spans="1:5">
      <c r="A15" t="s">
        <v>389</v>
      </c>
      <c r="B15" t="s">
        <v>396</v>
      </c>
      <c r="C15" t="s">
        <v>397</v>
      </c>
    </row>
    <row r="16" spans="1:5">
      <c r="A16" t="s">
        <v>389</v>
      </c>
      <c r="B16" t="s">
        <v>413</v>
      </c>
      <c r="C16" t="s">
        <v>826</v>
      </c>
    </row>
    <row r="17" spans="1:3">
      <c r="A17" t="s">
        <v>403</v>
      </c>
      <c r="B17" t="s">
        <v>358</v>
      </c>
      <c r="C17" t="s">
        <v>1042</v>
      </c>
    </row>
    <row r="18" spans="1:3">
      <c r="A18" t="s">
        <v>403</v>
      </c>
      <c r="B18" t="s">
        <v>362</v>
      </c>
      <c r="C18" t="s">
        <v>1043</v>
      </c>
    </row>
    <row r="19" spans="1:3">
      <c r="A19" s="15" t="s">
        <v>403</v>
      </c>
      <c r="B19" t="s">
        <v>392</v>
      </c>
      <c r="C19" t="s">
        <v>1044</v>
      </c>
    </row>
    <row r="20" spans="1:3">
      <c r="A20" s="15" t="s">
        <v>403</v>
      </c>
      <c r="B20" t="s">
        <v>394</v>
      </c>
      <c r="C20" t="s">
        <v>1045</v>
      </c>
    </row>
    <row r="21" spans="1:3">
      <c r="A21" s="15" t="s">
        <v>403</v>
      </c>
      <c r="B21" t="s">
        <v>396</v>
      </c>
      <c r="C21" t="s">
        <v>826</v>
      </c>
    </row>
    <row r="22" spans="1:3">
      <c r="A22" t="s">
        <v>406</v>
      </c>
      <c r="B22" t="s">
        <v>359</v>
      </c>
      <c r="C22" t="s">
        <v>407</v>
      </c>
    </row>
    <row r="23" spans="1:3">
      <c r="A23" t="s">
        <v>406</v>
      </c>
      <c r="B23" t="s">
        <v>358</v>
      </c>
      <c r="C23" t="s">
        <v>408</v>
      </c>
    </row>
    <row r="24" spans="1:3">
      <c r="A24" t="s">
        <v>406</v>
      </c>
      <c r="B24" t="s">
        <v>362</v>
      </c>
      <c r="C24" t="s">
        <v>409</v>
      </c>
    </row>
    <row r="25" spans="1:3">
      <c r="A25" t="s">
        <v>406</v>
      </c>
      <c r="B25" t="s">
        <v>392</v>
      </c>
      <c r="C25" t="s">
        <v>410</v>
      </c>
    </row>
    <row r="26" spans="1:3">
      <c r="A26" t="s">
        <v>406</v>
      </c>
      <c r="B26" t="s">
        <v>394</v>
      </c>
      <c r="C26" t="s">
        <v>411</v>
      </c>
    </row>
    <row r="27" spans="1:3">
      <c r="A27" t="s">
        <v>406</v>
      </c>
      <c r="B27" t="s">
        <v>396</v>
      </c>
      <c r="C27" t="s">
        <v>412</v>
      </c>
    </row>
    <row r="28" spans="1:3">
      <c r="A28" t="s">
        <v>406</v>
      </c>
      <c r="B28" t="s">
        <v>413</v>
      </c>
      <c r="C28" t="s">
        <v>414</v>
      </c>
    </row>
    <row r="29" spans="1:3">
      <c r="A29" t="s">
        <v>406</v>
      </c>
      <c r="B29" t="s">
        <v>694</v>
      </c>
      <c r="C29" t="s">
        <v>826</v>
      </c>
    </row>
    <row r="30" spans="1:3">
      <c r="A30" t="s">
        <v>415</v>
      </c>
      <c r="B30" t="s">
        <v>358</v>
      </c>
      <c r="C30" t="s">
        <v>416</v>
      </c>
    </row>
    <row r="31" spans="1:3">
      <c r="A31" t="s">
        <v>415</v>
      </c>
      <c r="B31" t="s">
        <v>359</v>
      </c>
      <c r="C31" t="s">
        <v>417</v>
      </c>
    </row>
    <row r="32" spans="1:3">
      <c r="A32" t="s">
        <v>415</v>
      </c>
      <c r="B32" t="s">
        <v>362</v>
      </c>
      <c r="C32" t="s">
        <v>826</v>
      </c>
    </row>
    <row r="33" spans="1:3">
      <c r="A33" t="s">
        <v>418</v>
      </c>
      <c r="B33" t="s">
        <v>358</v>
      </c>
      <c r="C33" t="s">
        <v>419</v>
      </c>
    </row>
    <row r="34" spans="1:3">
      <c r="A34" t="s">
        <v>418</v>
      </c>
      <c r="B34" t="s">
        <v>362</v>
      </c>
      <c r="C34" t="s">
        <v>420</v>
      </c>
    </row>
    <row r="35" spans="1:3">
      <c r="A35" t="s">
        <v>418</v>
      </c>
      <c r="B35" t="s">
        <v>392</v>
      </c>
      <c r="C35" t="s">
        <v>421</v>
      </c>
    </row>
    <row r="36" spans="1:3">
      <c r="A36" t="s">
        <v>418</v>
      </c>
      <c r="B36" t="s">
        <v>394</v>
      </c>
      <c r="C36" t="s">
        <v>826</v>
      </c>
    </row>
    <row r="37" spans="1:3">
      <c r="A37" t="s">
        <v>428</v>
      </c>
      <c r="B37" t="s">
        <v>358</v>
      </c>
      <c r="C37" t="s">
        <v>429</v>
      </c>
    </row>
    <row r="38" spans="1:3">
      <c r="A38" t="s">
        <v>428</v>
      </c>
      <c r="B38" t="s">
        <v>362</v>
      </c>
      <c r="C38" t="s">
        <v>994</v>
      </c>
    </row>
    <row r="39" spans="1:3">
      <c r="A39" t="s">
        <v>428</v>
      </c>
      <c r="B39" t="s">
        <v>392</v>
      </c>
      <c r="C39" t="s">
        <v>430</v>
      </c>
    </row>
    <row r="40" spans="1:3">
      <c r="A40" t="s">
        <v>428</v>
      </c>
      <c r="B40" t="s">
        <v>394</v>
      </c>
      <c r="C40" t="s">
        <v>431</v>
      </c>
    </row>
    <row r="41" spans="1:3">
      <c r="A41" t="s">
        <v>428</v>
      </c>
      <c r="B41" t="s">
        <v>396</v>
      </c>
      <c r="C41" t="s">
        <v>826</v>
      </c>
    </row>
    <row r="42" spans="1:3">
      <c r="A42" t="s">
        <v>428</v>
      </c>
      <c r="B42" t="s">
        <v>359</v>
      </c>
      <c r="C42" t="s">
        <v>432</v>
      </c>
    </row>
    <row r="43" spans="1:3">
      <c r="A43" t="s">
        <v>433</v>
      </c>
      <c r="B43" t="s">
        <v>358</v>
      </c>
      <c r="C43" t="s">
        <v>434</v>
      </c>
    </row>
    <row r="44" spans="1:3">
      <c r="A44" t="s">
        <v>433</v>
      </c>
      <c r="B44" t="s">
        <v>362</v>
      </c>
      <c r="C44" t="s">
        <v>435</v>
      </c>
    </row>
    <row r="45" spans="1:3">
      <c r="A45" t="s">
        <v>433</v>
      </c>
      <c r="B45" t="s">
        <v>392</v>
      </c>
      <c r="C45" t="s">
        <v>436</v>
      </c>
    </row>
    <row r="46" spans="1:3">
      <c r="A46" t="s">
        <v>433</v>
      </c>
      <c r="B46" t="s">
        <v>394</v>
      </c>
      <c r="C46" t="s">
        <v>995</v>
      </c>
    </row>
    <row r="47" spans="1:3">
      <c r="A47" t="s">
        <v>433</v>
      </c>
      <c r="B47" t="s">
        <v>396</v>
      </c>
      <c r="C47" t="s">
        <v>437</v>
      </c>
    </row>
    <row r="48" spans="1:3">
      <c r="A48" t="s">
        <v>433</v>
      </c>
      <c r="B48" t="s">
        <v>413</v>
      </c>
      <c r="C48" t="s">
        <v>397</v>
      </c>
    </row>
    <row r="49" spans="1:3">
      <c r="A49" t="s">
        <v>433</v>
      </c>
      <c r="B49" t="s">
        <v>694</v>
      </c>
      <c r="C49" t="s">
        <v>826</v>
      </c>
    </row>
    <row r="50" spans="1:3">
      <c r="A50" s="14" t="s">
        <v>450</v>
      </c>
      <c r="B50" s="14" t="s">
        <v>358</v>
      </c>
      <c r="C50" s="71" t="s">
        <v>451</v>
      </c>
    </row>
    <row r="51" spans="1:3">
      <c r="A51" s="14" t="s">
        <v>450</v>
      </c>
      <c r="B51" s="14" t="s">
        <v>362</v>
      </c>
      <c r="C51" s="71" t="s">
        <v>1046</v>
      </c>
    </row>
    <row r="52" spans="1:3">
      <c r="A52" s="14" t="s">
        <v>450</v>
      </c>
      <c r="B52" s="14" t="s">
        <v>392</v>
      </c>
      <c r="C52" s="71" t="s">
        <v>452</v>
      </c>
    </row>
    <row r="53" spans="1:3">
      <c r="A53" s="14" t="s">
        <v>450</v>
      </c>
      <c r="B53" s="14" t="s">
        <v>394</v>
      </c>
      <c r="C53" s="14" t="s">
        <v>397</v>
      </c>
    </row>
    <row r="54" spans="1:3">
      <c r="A54" s="14" t="s">
        <v>450</v>
      </c>
      <c r="B54" s="14" t="s">
        <v>396</v>
      </c>
      <c r="C54" s="71" t="s">
        <v>826</v>
      </c>
    </row>
    <row r="55" spans="1:3">
      <c r="A55" s="14" t="s">
        <v>457</v>
      </c>
      <c r="B55" s="14" t="s">
        <v>358</v>
      </c>
      <c r="C55" s="71" t="s">
        <v>996</v>
      </c>
    </row>
    <row r="56" spans="1:3">
      <c r="A56" s="14" t="s">
        <v>457</v>
      </c>
      <c r="B56" s="14" t="s">
        <v>392</v>
      </c>
      <c r="C56" s="71" t="s">
        <v>458</v>
      </c>
    </row>
    <row r="57" spans="1:3">
      <c r="A57" s="14" t="s">
        <v>457</v>
      </c>
      <c r="B57" s="14" t="s">
        <v>394</v>
      </c>
      <c r="C57" s="71" t="s">
        <v>437</v>
      </c>
    </row>
    <row r="58" spans="1:3">
      <c r="A58" s="14" t="s">
        <v>457</v>
      </c>
      <c r="B58" s="14" t="s">
        <v>396</v>
      </c>
      <c r="C58" s="71" t="s">
        <v>431</v>
      </c>
    </row>
    <row r="59" spans="1:3">
      <c r="A59" s="14" t="s">
        <v>457</v>
      </c>
      <c r="B59" s="14" t="s">
        <v>413</v>
      </c>
      <c r="C59" s="71" t="s">
        <v>826</v>
      </c>
    </row>
    <row r="60" spans="1:3">
      <c r="A60" s="14" t="s">
        <v>459</v>
      </c>
      <c r="B60" s="14" t="s">
        <v>358</v>
      </c>
      <c r="C60" s="71" t="s">
        <v>997</v>
      </c>
    </row>
    <row r="61" spans="1:3">
      <c r="A61" s="14" t="s">
        <v>459</v>
      </c>
      <c r="B61" s="14" t="s">
        <v>362</v>
      </c>
      <c r="C61" s="71" t="s">
        <v>460</v>
      </c>
    </row>
    <row r="62" spans="1:3">
      <c r="A62" s="14" t="s">
        <v>459</v>
      </c>
      <c r="B62" s="14" t="s">
        <v>392</v>
      </c>
      <c r="C62" s="71" t="s">
        <v>998</v>
      </c>
    </row>
    <row r="63" spans="1:3">
      <c r="A63" s="14" t="s">
        <v>459</v>
      </c>
      <c r="B63" s="14" t="s">
        <v>394</v>
      </c>
      <c r="C63" s="71" t="s">
        <v>826</v>
      </c>
    </row>
    <row r="64" spans="1:3">
      <c r="A64" s="14" t="s">
        <v>465</v>
      </c>
      <c r="B64" s="14" t="s">
        <v>358</v>
      </c>
      <c r="C64" s="71" t="s">
        <v>358</v>
      </c>
    </row>
    <row r="65" spans="1:3">
      <c r="A65" s="14" t="s">
        <v>465</v>
      </c>
      <c r="B65" s="14" t="s">
        <v>362</v>
      </c>
      <c r="C65" s="14" t="s">
        <v>497</v>
      </c>
    </row>
    <row r="66" spans="1:3">
      <c r="A66" s="14" t="s">
        <v>465</v>
      </c>
      <c r="B66" s="14" t="s">
        <v>392</v>
      </c>
      <c r="C66" s="73" t="s">
        <v>466</v>
      </c>
    </row>
    <row r="67" spans="1:3">
      <c r="A67" s="14" t="s">
        <v>465</v>
      </c>
      <c r="B67" s="14" t="s">
        <v>394</v>
      </c>
      <c r="C67" s="14" t="s">
        <v>826</v>
      </c>
    </row>
    <row r="68" spans="1:3">
      <c r="A68" s="14" t="s">
        <v>467</v>
      </c>
      <c r="B68" s="14" t="s">
        <v>358</v>
      </c>
      <c r="C68" s="14" t="s">
        <v>468</v>
      </c>
    </row>
    <row r="69" spans="1:3">
      <c r="A69" s="14" t="s">
        <v>467</v>
      </c>
      <c r="B69" s="14" t="s">
        <v>362</v>
      </c>
      <c r="C69" s="14" t="s">
        <v>470</v>
      </c>
    </row>
    <row r="70" spans="1:3">
      <c r="A70" s="14" t="s">
        <v>467</v>
      </c>
      <c r="B70" s="14" t="s">
        <v>392</v>
      </c>
      <c r="C70" s="14" t="s">
        <v>469</v>
      </c>
    </row>
    <row r="71" spans="1:3">
      <c r="A71" s="14" t="s">
        <v>467</v>
      </c>
      <c r="B71" s="14" t="s">
        <v>394</v>
      </c>
      <c r="C71" s="14" t="s">
        <v>826</v>
      </c>
    </row>
    <row r="72" spans="1:3">
      <c r="A72" s="14" t="s">
        <v>471</v>
      </c>
      <c r="B72" s="14" t="s">
        <v>358</v>
      </c>
      <c r="C72" s="84" t="s">
        <v>472</v>
      </c>
    </row>
    <row r="73" spans="1:3">
      <c r="A73" s="14" t="s">
        <v>471</v>
      </c>
      <c r="B73" s="14" t="s">
        <v>362</v>
      </c>
      <c r="C73" s="71" t="s">
        <v>473</v>
      </c>
    </row>
    <row r="74" spans="1:3">
      <c r="A74" s="14" t="s">
        <v>471</v>
      </c>
      <c r="B74" s="14" t="s">
        <v>392</v>
      </c>
      <c r="C74" s="71" t="s">
        <v>474</v>
      </c>
    </row>
    <row r="75" spans="1:3">
      <c r="A75" s="14" t="s">
        <v>471</v>
      </c>
      <c r="B75" s="14" t="s">
        <v>394</v>
      </c>
      <c r="C75" s="71" t="s">
        <v>475</v>
      </c>
    </row>
    <row r="76" spans="1:3">
      <c r="A76" s="14" t="s">
        <v>471</v>
      </c>
      <c r="B76" s="14" t="s">
        <v>396</v>
      </c>
      <c r="C76" s="71" t="s">
        <v>397</v>
      </c>
    </row>
    <row r="77" spans="1:3">
      <c r="A77" s="14" t="s">
        <v>471</v>
      </c>
      <c r="B77" s="14" t="s">
        <v>413</v>
      </c>
      <c r="C77" s="71" t="s">
        <v>826</v>
      </c>
    </row>
    <row r="78" spans="1:3">
      <c r="A78" s="14" t="s">
        <v>478</v>
      </c>
      <c r="B78" s="14" t="s">
        <v>358</v>
      </c>
      <c r="C78" s="71" t="s">
        <v>479</v>
      </c>
    </row>
    <row r="79" spans="1:3">
      <c r="A79" s="14" t="s">
        <v>478</v>
      </c>
      <c r="B79" s="14" t="s">
        <v>362</v>
      </c>
      <c r="C79" s="71" t="s">
        <v>480</v>
      </c>
    </row>
    <row r="80" spans="1:3">
      <c r="A80" s="14" t="s">
        <v>478</v>
      </c>
      <c r="B80" s="14" t="s">
        <v>392</v>
      </c>
      <c r="C80" s="71" t="s">
        <v>481</v>
      </c>
    </row>
    <row r="81" spans="1:3">
      <c r="A81" s="14" t="s">
        <v>478</v>
      </c>
      <c r="B81" s="14" t="s">
        <v>394</v>
      </c>
      <c r="C81" s="71" t="s">
        <v>999</v>
      </c>
    </row>
    <row r="82" spans="1:3">
      <c r="A82" s="14" t="s">
        <v>478</v>
      </c>
      <c r="B82" s="14" t="s">
        <v>396</v>
      </c>
      <c r="C82" s="71" t="s">
        <v>1000</v>
      </c>
    </row>
    <row r="83" spans="1:3">
      <c r="A83" s="14" t="s">
        <v>478</v>
      </c>
      <c r="B83" s="14" t="s">
        <v>413</v>
      </c>
      <c r="C83" s="71" t="s">
        <v>397</v>
      </c>
    </row>
    <row r="84" spans="1:3">
      <c r="A84" s="14" t="s">
        <v>478</v>
      </c>
      <c r="B84" s="14" t="s">
        <v>694</v>
      </c>
      <c r="C84" s="71" t="s">
        <v>826</v>
      </c>
    </row>
    <row r="85" spans="1:3">
      <c r="A85" s="14" t="s">
        <v>499</v>
      </c>
      <c r="B85" s="14" t="s">
        <v>358</v>
      </c>
      <c r="C85" s="71" t="s">
        <v>518</v>
      </c>
    </row>
    <row r="86" spans="1:3">
      <c r="A86" s="14" t="s">
        <v>499</v>
      </c>
      <c r="B86" s="14" t="s">
        <v>362</v>
      </c>
      <c r="C86" s="71" t="s">
        <v>519</v>
      </c>
    </row>
    <row r="87" spans="1:3">
      <c r="A87" s="14" t="s">
        <v>499</v>
      </c>
      <c r="B87" s="14" t="s">
        <v>392</v>
      </c>
      <c r="C87" s="71" t="s">
        <v>520</v>
      </c>
    </row>
    <row r="88" spans="1:3">
      <c r="A88" s="14" t="s">
        <v>499</v>
      </c>
      <c r="B88" s="14" t="s">
        <v>394</v>
      </c>
      <c r="C88" s="71" t="s">
        <v>826</v>
      </c>
    </row>
    <row r="89" spans="1:3">
      <c r="A89" s="14" t="s">
        <v>502</v>
      </c>
      <c r="B89" s="14" t="s">
        <v>358</v>
      </c>
      <c r="C89" s="71" t="s">
        <v>503</v>
      </c>
    </row>
    <row r="90" spans="1:3">
      <c r="A90" s="14" t="s">
        <v>502</v>
      </c>
      <c r="B90" s="14" t="s">
        <v>362</v>
      </c>
      <c r="C90" s="71" t="s">
        <v>1001</v>
      </c>
    </row>
    <row r="91" spans="1:3">
      <c r="A91" s="14" t="s">
        <v>502</v>
      </c>
      <c r="B91" s="14" t="s">
        <v>392</v>
      </c>
      <c r="C91" s="71" t="s">
        <v>1002</v>
      </c>
    </row>
    <row r="92" spans="1:3">
      <c r="A92" s="14" t="s">
        <v>502</v>
      </c>
      <c r="B92" s="14" t="s">
        <v>394</v>
      </c>
      <c r="C92" s="71" t="s">
        <v>504</v>
      </c>
    </row>
    <row r="93" spans="1:3">
      <c r="A93" s="14" t="s">
        <v>502</v>
      </c>
      <c r="B93" s="14" t="s">
        <v>396</v>
      </c>
      <c r="C93" s="71" t="s">
        <v>826</v>
      </c>
    </row>
    <row r="94" spans="1:3">
      <c r="A94" s="14" t="s">
        <v>505</v>
      </c>
      <c r="B94" s="14" t="s">
        <v>358</v>
      </c>
      <c r="C94" s="71" t="s">
        <v>508</v>
      </c>
    </row>
    <row r="95" spans="1:3">
      <c r="A95" s="14" t="s">
        <v>505</v>
      </c>
      <c r="B95" s="14" t="s">
        <v>362</v>
      </c>
      <c r="C95" s="71" t="s">
        <v>506</v>
      </c>
    </row>
    <row r="96" spans="1:3">
      <c r="A96" s="14" t="s">
        <v>505</v>
      </c>
      <c r="B96" s="14" t="s">
        <v>392</v>
      </c>
      <c r="C96" s="71" t="s">
        <v>507</v>
      </c>
    </row>
    <row r="97" spans="1:3">
      <c r="A97" s="14" t="s">
        <v>505</v>
      </c>
      <c r="B97" s="14" t="s">
        <v>394</v>
      </c>
      <c r="C97" s="71" t="s">
        <v>826</v>
      </c>
    </row>
    <row r="98" spans="1:3">
      <c r="A98" s="14" t="s">
        <v>510</v>
      </c>
      <c r="B98" s="14" t="s">
        <v>358</v>
      </c>
      <c r="C98" s="71" t="s">
        <v>511</v>
      </c>
    </row>
    <row r="99" spans="1:3">
      <c r="A99" s="14" t="s">
        <v>510</v>
      </c>
      <c r="B99" s="14" t="s">
        <v>362</v>
      </c>
      <c r="C99" s="71" t="s">
        <v>512</v>
      </c>
    </row>
    <row r="100" spans="1:3">
      <c r="A100" s="14" t="s">
        <v>510</v>
      </c>
      <c r="B100" s="14" t="s">
        <v>392</v>
      </c>
      <c r="C100" s="71" t="s">
        <v>513</v>
      </c>
    </row>
    <row r="101" spans="1:3">
      <c r="A101" s="14" t="s">
        <v>510</v>
      </c>
      <c r="B101" s="14" t="s">
        <v>394</v>
      </c>
      <c r="C101" s="71" t="s">
        <v>514</v>
      </c>
    </row>
    <row r="102" spans="1:3">
      <c r="A102" s="14" t="s">
        <v>510</v>
      </c>
      <c r="B102" s="14" t="s">
        <v>396</v>
      </c>
      <c r="C102" s="71" t="s">
        <v>1003</v>
      </c>
    </row>
    <row r="103" spans="1:3">
      <c r="A103" s="14" t="s">
        <v>510</v>
      </c>
      <c r="B103" s="14" t="s">
        <v>413</v>
      </c>
      <c r="C103" s="71" t="s">
        <v>515</v>
      </c>
    </row>
    <row r="104" spans="1:3">
      <c r="A104" s="14" t="s">
        <v>510</v>
      </c>
      <c r="B104" s="14" t="s">
        <v>694</v>
      </c>
      <c r="C104" s="71" t="s">
        <v>826</v>
      </c>
    </row>
    <row r="105" spans="1:3">
      <c r="A105" s="14" t="s">
        <v>517</v>
      </c>
      <c r="B105" s="14" t="s">
        <v>358</v>
      </c>
      <c r="C105" s="71" t="s">
        <v>521</v>
      </c>
    </row>
    <row r="106" spans="1:3">
      <c r="A106" s="14" t="s">
        <v>517</v>
      </c>
      <c r="B106" s="14" t="s">
        <v>362</v>
      </c>
      <c r="C106" s="71" t="s">
        <v>522</v>
      </c>
    </row>
    <row r="107" spans="1:3">
      <c r="A107" s="14" t="s">
        <v>517</v>
      </c>
      <c r="B107" s="14" t="s">
        <v>392</v>
      </c>
      <c r="C107" s="71" t="s">
        <v>523</v>
      </c>
    </row>
    <row r="108" spans="1:3">
      <c r="A108" s="14" t="s">
        <v>517</v>
      </c>
      <c r="B108" s="14" t="s">
        <v>394</v>
      </c>
      <c r="C108" s="71" t="s">
        <v>524</v>
      </c>
    </row>
    <row r="109" spans="1:3">
      <c r="A109" s="14" t="s">
        <v>517</v>
      </c>
      <c r="B109" s="14" t="s">
        <v>396</v>
      </c>
      <c r="C109" s="71" t="s">
        <v>525</v>
      </c>
    </row>
    <row r="110" spans="1:3">
      <c r="A110" s="14" t="s">
        <v>517</v>
      </c>
      <c r="B110" s="14" t="s">
        <v>413</v>
      </c>
      <c r="C110" s="71" t="s">
        <v>526</v>
      </c>
    </row>
    <row r="111" spans="1:3">
      <c r="A111" s="14" t="s">
        <v>517</v>
      </c>
      <c r="B111" s="14" t="s">
        <v>694</v>
      </c>
      <c r="C111" s="71" t="s">
        <v>527</v>
      </c>
    </row>
    <row r="112" spans="1:3">
      <c r="A112" s="14" t="s">
        <v>517</v>
      </c>
      <c r="B112" s="14" t="s">
        <v>695</v>
      </c>
      <c r="C112" s="71" t="s">
        <v>397</v>
      </c>
    </row>
    <row r="113" spans="1:3">
      <c r="A113" s="14" t="s">
        <v>517</v>
      </c>
      <c r="B113" s="14" t="s">
        <v>703</v>
      </c>
      <c r="C113" s="71" t="s">
        <v>826</v>
      </c>
    </row>
    <row r="114" spans="1:3">
      <c r="A114" s="14" t="s">
        <v>532</v>
      </c>
      <c r="B114" s="14" t="s">
        <v>358</v>
      </c>
      <c r="C114" s="71" t="s">
        <v>533</v>
      </c>
    </row>
    <row r="115" spans="1:3">
      <c r="A115" s="14" t="s">
        <v>532</v>
      </c>
      <c r="B115" s="14" t="s">
        <v>362</v>
      </c>
      <c r="C115" s="71" t="s">
        <v>534</v>
      </c>
    </row>
    <row r="116" spans="1:3">
      <c r="A116" s="14" t="s">
        <v>532</v>
      </c>
      <c r="B116" s="14" t="s">
        <v>392</v>
      </c>
      <c r="C116" s="71" t="s">
        <v>826</v>
      </c>
    </row>
    <row r="117" spans="1:3">
      <c r="A117" s="14" t="s">
        <v>539</v>
      </c>
      <c r="B117" s="14" t="s">
        <v>358</v>
      </c>
      <c r="C117" s="71" t="s">
        <v>536</v>
      </c>
    </row>
    <row r="118" spans="1:3">
      <c r="A118" s="14" t="s">
        <v>539</v>
      </c>
      <c r="B118" s="14" t="s">
        <v>362</v>
      </c>
      <c r="C118" s="71" t="s">
        <v>537</v>
      </c>
    </row>
    <row r="119" spans="1:3">
      <c r="A119" s="14" t="s">
        <v>539</v>
      </c>
      <c r="B119" s="14" t="s">
        <v>392</v>
      </c>
      <c r="C119" s="14" t="s">
        <v>538</v>
      </c>
    </row>
    <row r="120" spans="1:3">
      <c r="A120" s="14" t="s">
        <v>539</v>
      </c>
      <c r="B120" s="14" t="s">
        <v>394</v>
      </c>
      <c r="C120" s="74" t="s">
        <v>826</v>
      </c>
    </row>
    <row r="121" spans="1:3">
      <c r="A121" s="14" t="s">
        <v>543</v>
      </c>
      <c r="B121" s="14" t="s">
        <v>358</v>
      </c>
      <c r="C121" s="74" t="s">
        <v>696</v>
      </c>
    </row>
    <row r="122" spans="1:3">
      <c r="A122" s="14" t="s">
        <v>543</v>
      </c>
      <c r="B122" s="14" t="s">
        <v>362</v>
      </c>
      <c r="C122" s="71" t="s">
        <v>697</v>
      </c>
    </row>
    <row r="123" spans="1:3">
      <c r="A123" s="14" t="s">
        <v>543</v>
      </c>
      <c r="B123" s="14" t="s">
        <v>392</v>
      </c>
      <c r="C123" s="71" t="s">
        <v>698</v>
      </c>
    </row>
    <row r="124" spans="1:3">
      <c r="A124" s="14" t="s">
        <v>543</v>
      </c>
      <c r="B124" s="14" t="s">
        <v>394</v>
      </c>
      <c r="C124" s="71" t="s">
        <v>397</v>
      </c>
    </row>
    <row r="125" spans="1:3">
      <c r="A125" s="14" t="s">
        <v>543</v>
      </c>
      <c r="B125" s="14" t="s">
        <v>396</v>
      </c>
      <c r="C125" s="71" t="s">
        <v>826</v>
      </c>
    </row>
    <row r="126" spans="1:3">
      <c r="A126" s="14" t="s">
        <v>547</v>
      </c>
      <c r="B126" s="14" t="s">
        <v>358</v>
      </c>
      <c r="C126" s="71" t="s">
        <v>699</v>
      </c>
    </row>
    <row r="127" spans="1:3">
      <c r="A127" s="14" t="s">
        <v>547</v>
      </c>
      <c r="B127" s="14" t="s">
        <v>362</v>
      </c>
      <c r="C127" s="71" t="s">
        <v>700</v>
      </c>
    </row>
    <row r="128" spans="1:3">
      <c r="A128" s="14" t="s">
        <v>547</v>
      </c>
      <c r="B128" s="14" t="s">
        <v>392</v>
      </c>
      <c r="C128" s="71" t="s">
        <v>701</v>
      </c>
    </row>
    <row r="129" spans="1:3">
      <c r="A129" s="14" t="s">
        <v>547</v>
      </c>
      <c r="B129" s="14" t="s">
        <v>394</v>
      </c>
      <c r="C129" s="71" t="s">
        <v>702</v>
      </c>
    </row>
    <row r="130" spans="1:3">
      <c r="A130" s="14" t="s">
        <v>547</v>
      </c>
      <c r="B130" s="14" t="s">
        <v>396</v>
      </c>
      <c r="C130" s="71" t="s">
        <v>397</v>
      </c>
    </row>
    <row r="131" spans="1:3">
      <c r="A131" s="14" t="s">
        <v>547</v>
      </c>
      <c r="B131" s="14" t="s">
        <v>413</v>
      </c>
      <c r="C131" s="71" t="s">
        <v>826</v>
      </c>
    </row>
    <row r="132" spans="1:3">
      <c r="A132" s="14" t="s">
        <v>555</v>
      </c>
      <c r="B132" s="14" t="s">
        <v>358</v>
      </c>
      <c r="C132" s="71" t="s">
        <v>416</v>
      </c>
    </row>
    <row r="133" spans="1:3">
      <c r="A133" s="8" t="s">
        <v>555</v>
      </c>
      <c r="B133" s="14" t="s">
        <v>362</v>
      </c>
      <c r="C133" s="74" t="s">
        <v>417</v>
      </c>
    </row>
    <row r="134" spans="1:3">
      <c r="A134" s="8" t="s">
        <v>555</v>
      </c>
      <c r="B134" s="14" t="s">
        <v>392</v>
      </c>
      <c r="C134" s="71" t="s">
        <v>554</v>
      </c>
    </row>
    <row r="135" spans="1:3">
      <c r="A135" s="8" t="s">
        <v>555</v>
      </c>
      <c r="B135" s="14" t="s">
        <v>394</v>
      </c>
      <c r="C135" s="74" t="s">
        <v>826</v>
      </c>
    </row>
    <row r="136" spans="1:3">
      <c r="A136" s="8" t="s">
        <v>558</v>
      </c>
      <c r="B136" s="14" t="s">
        <v>358</v>
      </c>
      <c r="C136" s="74" t="s">
        <v>559</v>
      </c>
    </row>
    <row r="137" spans="1:3">
      <c r="A137" s="14" t="s">
        <v>558</v>
      </c>
      <c r="B137" s="14" t="s">
        <v>362</v>
      </c>
      <c r="C137" s="71" t="s">
        <v>560</v>
      </c>
    </row>
    <row r="138" spans="1:3">
      <c r="A138" s="14" t="s">
        <v>558</v>
      </c>
      <c r="B138" s="14" t="s">
        <v>392</v>
      </c>
      <c r="C138" s="71" t="s">
        <v>561</v>
      </c>
    </row>
    <row r="139" spans="1:3">
      <c r="A139" s="14" t="s">
        <v>558</v>
      </c>
      <c r="B139" s="14" t="s">
        <v>394</v>
      </c>
      <c r="C139" s="71" t="s">
        <v>826</v>
      </c>
    </row>
    <row r="140" spans="1:3">
      <c r="A140" s="14" t="s">
        <v>565</v>
      </c>
      <c r="B140" s="14" t="s">
        <v>358</v>
      </c>
      <c r="C140" s="71" t="s">
        <v>1047</v>
      </c>
    </row>
    <row r="141" spans="1:3">
      <c r="A141" s="14" t="s">
        <v>565</v>
      </c>
      <c r="B141" s="14" t="s">
        <v>362</v>
      </c>
      <c r="C141" s="71" t="s">
        <v>1048</v>
      </c>
    </row>
    <row r="142" spans="1:3">
      <c r="A142" s="14" t="s">
        <v>565</v>
      </c>
      <c r="B142" s="14" t="s">
        <v>392</v>
      </c>
      <c r="C142" s="71" t="s">
        <v>1049</v>
      </c>
    </row>
    <row r="143" spans="1:3">
      <c r="A143" s="14" t="s">
        <v>565</v>
      </c>
      <c r="B143" s="14" t="s">
        <v>394</v>
      </c>
      <c r="C143" s="71" t="s">
        <v>1009</v>
      </c>
    </row>
    <row r="144" spans="1:3">
      <c r="A144" s="14" t="s">
        <v>565</v>
      </c>
      <c r="B144" s="14" t="s">
        <v>396</v>
      </c>
      <c r="C144" s="71" t="s">
        <v>1050</v>
      </c>
    </row>
    <row r="145" spans="1:3">
      <c r="A145" s="14" t="s">
        <v>565</v>
      </c>
      <c r="B145" s="14" t="s">
        <v>413</v>
      </c>
      <c r="C145" s="71" t="s">
        <v>1051</v>
      </c>
    </row>
    <row r="146" spans="1:3">
      <c r="A146" s="14" t="s">
        <v>565</v>
      </c>
      <c r="B146" s="14" t="s">
        <v>694</v>
      </c>
      <c r="C146" s="71" t="s">
        <v>826</v>
      </c>
    </row>
    <row r="147" spans="1:3">
      <c r="A147" s="14" t="s">
        <v>568</v>
      </c>
      <c r="B147" s="14" t="s">
        <v>358</v>
      </c>
      <c r="C147" s="71" t="s">
        <v>1177</v>
      </c>
    </row>
    <row r="148" spans="1:3">
      <c r="A148" s="14" t="s">
        <v>568</v>
      </c>
      <c r="B148" s="14" t="s">
        <v>362</v>
      </c>
      <c r="C148" s="71" t="s">
        <v>1052</v>
      </c>
    </row>
    <row r="149" spans="1:3">
      <c r="A149" s="14" t="s">
        <v>568</v>
      </c>
      <c r="B149" s="14" t="s">
        <v>392</v>
      </c>
      <c r="C149" s="71" t="s">
        <v>1053</v>
      </c>
    </row>
    <row r="150" spans="1:3">
      <c r="A150" s="14" t="s">
        <v>568</v>
      </c>
      <c r="B150" s="14" t="s">
        <v>394</v>
      </c>
      <c r="C150" s="71" t="s">
        <v>1054</v>
      </c>
    </row>
    <row r="151" spans="1:3">
      <c r="A151" s="14" t="s">
        <v>568</v>
      </c>
      <c r="B151" s="14" t="s">
        <v>396</v>
      </c>
      <c r="C151" s="71" t="s">
        <v>826</v>
      </c>
    </row>
    <row r="152" spans="1:3">
      <c r="A152" s="14" t="s">
        <v>570</v>
      </c>
      <c r="B152" s="14" t="s">
        <v>358</v>
      </c>
      <c r="C152" s="71" t="s">
        <v>1055</v>
      </c>
    </row>
    <row r="153" spans="1:3">
      <c r="A153" s="14" t="s">
        <v>570</v>
      </c>
      <c r="B153" s="14" t="s">
        <v>362</v>
      </c>
      <c r="C153" s="71" t="s">
        <v>1056</v>
      </c>
    </row>
    <row r="154" spans="1:3">
      <c r="A154" s="14" t="s">
        <v>570</v>
      </c>
      <c r="B154" s="14" t="s">
        <v>392</v>
      </c>
      <c r="C154" s="71" t="s">
        <v>1057</v>
      </c>
    </row>
    <row r="155" spans="1:3">
      <c r="A155" s="14" t="s">
        <v>570</v>
      </c>
      <c r="B155" s="14" t="s">
        <v>394</v>
      </c>
      <c r="C155" s="71" t="s">
        <v>826</v>
      </c>
    </row>
    <row r="156" spans="1:3">
      <c r="A156" s="14" t="s">
        <v>573</v>
      </c>
      <c r="B156" s="14" t="s">
        <v>358</v>
      </c>
      <c r="C156" s="71" t="s">
        <v>1058</v>
      </c>
    </row>
    <row r="157" spans="1:3">
      <c r="A157" s="14" t="s">
        <v>573</v>
      </c>
      <c r="B157" s="14" t="s">
        <v>362</v>
      </c>
      <c r="C157" s="71" t="s">
        <v>1059</v>
      </c>
    </row>
    <row r="158" spans="1:3">
      <c r="A158" s="14" t="s">
        <v>573</v>
      </c>
      <c r="B158" s="14" t="s">
        <v>392</v>
      </c>
      <c r="C158" s="71" t="s">
        <v>709</v>
      </c>
    </row>
    <row r="159" spans="1:3">
      <c r="A159" s="14" t="s">
        <v>573</v>
      </c>
      <c r="B159" s="14" t="s">
        <v>394</v>
      </c>
      <c r="C159" s="71" t="s">
        <v>826</v>
      </c>
    </row>
    <row r="160" spans="1:3">
      <c r="A160" s="14" t="s">
        <v>576</v>
      </c>
      <c r="B160" s="14" t="s">
        <v>358</v>
      </c>
      <c r="C160" s="71" t="s">
        <v>432</v>
      </c>
    </row>
    <row r="161" spans="1:3">
      <c r="A161" s="14" t="s">
        <v>576</v>
      </c>
      <c r="B161" s="14" t="s">
        <v>362</v>
      </c>
      <c r="C161" s="71" t="s">
        <v>1060</v>
      </c>
    </row>
    <row r="162" spans="1:3">
      <c r="A162" s="14" t="s">
        <v>576</v>
      </c>
      <c r="B162" s="14" t="s">
        <v>392</v>
      </c>
      <c r="C162" s="71" t="s">
        <v>1061</v>
      </c>
    </row>
    <row r="163" spans="1:3">
      <c r="A163" s="14" t="s">
        <v>576</v>
      </c>
      <c r="B163" s="14" t="s">
        <v>394</v>
      </c>
      <c r="C163" s="71" t="s">
        <v>1062</v>
      </c>
    </row>
    <row r="164" spans="1:3">
      <c r="A164" s="14" t="s">
        <v>576</v>
      </c>
      <c r="B164" s="14" t="s">
        <v>396</v>
      </c>
      <c r="C164" s="71" t="s">
        <v>826</v>
      </c>
    </row>
    <row r="165" spans="1:3">
      <c r="A165" s="14" t="s">
        <v>579</v>
      </c>
      <c r="B165" s="14" t="s">
        <v>358</v>
      </c>
      <c r="C165" s="71" t="s">
        <v>416</v>
      </c>
    </row>
    <row r="166" spans="1:3">
      <c r="A166" s="14" t="s">
        <v>579</v>
      </c>
      <c r="B166" s="14" t="s">
        <v>362</v>
      </c>
      <c r="C166" s="71" t="s">
        <v>417</v>
      </c>
    </row>
    <row r="167" spans="1:3">
      <c r="A167" s="14" t="s">
        <v>579</v>
      </c>
      <c r="B167" s="14" t="s">
        <v>392</v>
      </c>
      <c r="C167" s="74" t="s">
        <v>1063</v>
      </c>
    </row>
    <row r="168" spans="1:3">
      <c r="A168" s="14" t="s">
        <v>579</v>
      </c>
      <c r="B168" s="14" t="s">
        <v>394</v>
      </c>
      <c r="C168" s="71" t="s">
        <v>826</v>
      </c>
    </row>
    <row r="169" spans="1:3">
      <c r="A169" s="14" t="s">
        <v>583</v>
      </c>
      <c r="B169" s="14" t="s">
        <v>358</v>
      </c>
      <c r="C169" s="71" t="s">
        <v>1064</v>
      </c>
    </row>
    <row r="170" spans="1:3">
      <c r="A170" s="14" t="s">
        <v>583</v>
      </c>
      <c r="B170" s="14" t="s">
        <v>362</v>
      </c>
      <c r="C170" s="71" t="s">
        <v>1065</v>
      </c>
    </row>
    <row r="171" spans="1:3">
      <c r="A171" s="14" t="s">
        <v>583</v>
      </c>
      <c r="B171" s="14" t="s">
        <v>392</v>
      </c>
      <c r="C171" s="71" t="s">
        <v>1066</v>
      </c>
    </row>
    <row r="172" spans="1:3">
      <c r="A172" s="14" t="s">
        <v>583</v>
      </c>
      <c r="B172" s="14" t="s">
        <v>394</v>
      </c>
      <c r="C172" s="71" t="s">
        <v>432</v>
      </c>
    </row>
    <row r="173" spans="1:3">
      <c r="A173" s="14" t="s">
        <v>583</v>
      </c>
      <c r="B173" s="14" t="s">
        <v>396</v>
      </c>
      <c r="C173" s="71" t="s">
        <v>826</v>
      </c>
    </row>
    <row r="174" spans="1:3">
      <c r="A174" s="14" t="s">
        <v>592</v>
      </c>
      <c r="B174" s="14" t="s">
        <v>358</v>
      </c>
      <c r="C174" s="71" t="s">
        <v>1067</v>
      </c>
    </row>
    <row r="175" spans="1:3">
      <c r="A175" s="14" t="s">
        <v>592</v>
      </c>
      <c r="B175" s="14" t="s">
        <v>362</v>
      </c>
      <c r="C175" s="71" t="s">
        <v>1068</v>
      </c>
    </row>
    <row r="176" spans="1:3">
      <c r="A176" s="14" t="s">
        <v>592</v>
      </c>
      <c r="B176" s="14" t="s">
        <v>392</v>
      </c>
      <c r="C176" s="71" t="s">
        <v>1069</v>
      </c>
    </row>
    <row r="177" spans="1:3">
      <c r="A177" s="14" t="s">
        <v>592</v>
      </c>
      <c r="B177" s="14" t="s">
        <v>394</v>
      </c>
      <c r="C177" s="71" t="s">
        <v>1070</v>
      </c>
    </row>
    <row r="178" spans="1:3">
      <c r="A178" s="14" t="s">
        <v>592</v>
      </c>
      <c r="B178" s="14" t="s">
        <v>396</v>
      </c>
      <c r="C178" s="71" t="s">
        <v>1069</v>
      </c>
    </row>
    <row r="179" spans="1:3">
      <c r="A179" s="14" t="s">
        <v>592</v>
      </c>
      <c r="B179" s="14" t="s">
        <v>413</v>
      </c>
      <c r="C179" s="71" t="s">
        <v>1071</v>
      </c>
    </row>
    <row r="180" spans="1:3">
      <c r="A180" s="14" t="s">
        <v>592</v>
      </c>
      <c r="B180" s="14" t="s">
        <v>694</v>
      </c>
      <c r="C180" s="71" t="s">
        <v>431</v>
      </c>
    </row>
    <row r="181" spans="1:3">
      <c r="A181" s="14" t="s">
        <v>592</v>
      </c>
      <c r="B181" s="14" t="s">
        <v>695</v>
      </c>
      <c r="C181" s="71" t="s">
        <v>826</v>
      </c>
    </row>
    <row r="182" spans="1:3">
      <c r="A182" s="14" t="s">
        <v>596</v>
      </c>
      <c r="B182" s="14" t="s">
        <v>358</v>
      </c>
      <c r="C182" s="71" t="s">
        <v>358</v>
      </c>
    </row>
    <row r="183" spans="1:3">
      <c r="A183" s="14" t="s">
        <v>596</v>
      </c>
      <c r="B183" s="14" t="s">
        <v>362</v>
      </c>
      <c r="C183" s="75" t="s">
        <v>362</v>
      </c>
    </row>
    <row r="184" spans="1:3">
      <c r="A184" s="14" t="s">
        <v>596</v>
      </c>
      <c r="B184" s="14" t="s">
        <v>392</v>
      </c>
      <c r="C184" s="71" t="s">
        <v>392</v>
      </c>
    </row>
    <row r="185" spans="1:3">
      <c r="A185" s="14" t="s">
        <v>596</v>
      </c>
      <c r="B185" s="14" t="s">
        <v>394</v>
      </c>
      <c r="C185" s="75" t="s">
        <v>394</v>
      </c>
    </row>
    <row r="186" spans="1:3">
      <c r="A186" s="14" t="s">
        <v>596</v>
      </c>
      <c r="B186" s="14" t="s">
        <v>396</v>
      </c>
      <c r="C186" s="71" t="s">
        <v>396</v>
      </c>
    </row>
    <row r="187" spans="1:3">
      <c r="A187" s="14" t="s">
        <v>596</v>
      </c>
      <c r="B187" s="14" t="s">
        <v>413</v>
      </c>
      <c r="C187" s="14" t="s">
        <v>826</v>
      </c>
    </row>
    <row r="188" spans="1:3">
      <c r="A188" s="14" t="s">
        <v>598</v>
      </c>
      <c r="B188" s="14" t="s">
        <v>358</v>
      </c>
      <c r="C188" s="1" t="s">
        <v>1072</v>
      </c>
    </row>
    <row r="189" spans="1:3">
      <c r="A189" s="14" t="s">
        <v>598</v>
      </c>
      <c r="B189" s="14" t="s">
        <v>362</v>
      </c>
      <c r="C189" s="71" t="s">
        <v>1073</v>
      </c>
    </row>
    <row r="190" spans="1:3">
      <c r="A190" s="14" t="s">
        <v>598</v>
      </c>
      <c r="B190" s="14" t="s">
        <v>392</v>
      </c>
      <c r="C190" s="71" t="s">
        <v>1074</v>
      </c>
    </row>
    <row r="191" spans="1:3">
      <c r="A191" s="14" t="s">
        <v>598</v>
      </c>
      <c r="B191" s="14" t="s">
        <v>394</v>
      </c>
      <c r="C191" s="71" t="s">
        <v>1075</v>
      </c>
    </row>
    <row r="192" spans="1:3">
      <c r="A192" s="14" t="s">
        <v>598</v>
      </c>
      <c r="B192" s="14" t="s">
        <v>396</v>
      </c>
      <c r="C192" s="71" t="s">
        <v>1076</v>
      </c>
    </row>
    <row r="193" spans="1:3">
      <c r="A193" s="14" t="s">
        <v>598</v>
      </c>
      <c r="B193" s="14" t="s">
        <v>413</v>
      </c>
      <c r="C193" s="71" t="s">
        <v>1077</v>
      </c>
    </row>
    <row r="194" spans="1:3">
      <c r="A194" s="14" t="s">
        <v>598</v>
      </c>
      <c r="B194" s="14" t="s">
        <v>694</v>
      </c>
      <c r="C194" s="71" t="s">
        <v>1078</v>
      </c>
    </row>
    <row r="195" spans="1:3">
      <c r="A195" s="14" t="s">
        <v>598</v>
      </c>
      <c r="B195" s="14" t="s">
        <v>695</v>
      </c>
      <c r="C195" s="71" t="s">
        <v>1079</v>
      </c>
    </row>
    <row r="196" spans="1:3">
      <c r="A196" s="14" t="s">
        <v>598</v>
      </c>
      <c r="B196" s="14" t="s">
        <v>703</v>
      </c>
      <c r="C196" s="71" t="s">
        <v>1080</v>
      </c>
    </row>
    <row r="197" spans="1:3">
      <c r="A197" s="14" t="s">
        <v>598</v>
      </c>
      <c r="B197" s="14" t="s">
        <v>704</v>
      </c>
      <c r="C197" s="71" t="s">
        <v>1081</v>
      </c>
    </row>
    <row r="198" spans="1:3">
      <c r="A198" s="14" t="s">
        <v>598</v>
      </c>
      <c r="B198" s="14" t="s">
        <v>705</v>
      </c>
      <c r="C198" s="71" t="s">
        <v>1082</v>
      </c>
    </row>
    <row r="199" spans="1:3">
      <c r="A199" s="14" t="s">
        <v>598</v>
      </c>
      <c r="B199" s="14" t="s">
        <v>706</v>
      </c>
      <c r="C199" s="71" t="s">
        <v>397</v>
      </c>
    </row>
    <row r="200" spans="1:3">
      <c r="A200" s="14" t="s">
        <v>598</v>
      </c>
      <c r="B200" s="14" t="s">
        <v>1025</v>
      </c>
      <c r="C200" s="74" t="s">
        <v>826</v>
      </c>
    </row>
    <row r="201" spans="1:3">
      <c r="A201" s="14" t="s">
        <v>601</v>
      </c>
      <c r="B201" s="14" t="s">
        <v>358</v>
      </c>
      <c r="C201" s="74" t="s">
        <v>1083</v>
      </c>
    </row>
    <row r="202" spans="1:3">
      <c r="A202" s="14" t="s">
        <v>601</v>
      </c>
      <c r="B202" s="14" t="s">
        <v>362</v>
      </c>
      <c r="C202" s="71" t="s">
        <v>1084</v>
      </c>
    </row>
    <row r="203" spans="1:3">
      <c r="A203" s="14" t="s">
        <v>601</v>
      </c>
      <c r="B203" s="14" t="s">
        <v>392</v>
      </c>
      <c r="C203" s="71" t="s">
        <v>729</v>
      </c>
    </row>
    <row r="204" spans="1:3">
      <c r="A204" s="14" t="s">
        <v>601</v>
      </c>
      <c r="B204" s="14" t="s">
        <v>394</v>
      </c>
      <c r="C204" s="71" t="s">
        <v>1085</v>
      </c>
    </row>
    <row r="205" spans="1:3">
      <c r="A205" s="14" t="s">
        <v>601</v>
      </c>
      <c r="B205" s="14" t="s">
        <v>396</v>
      </c>
      <c r="C205" s="71" t="s">
        <v>826</v>
      </c>
    </row>
    <row r="206" spans="1:3">
      <c r="A206" s="14" t="s">
        <v>604</v>
      </c>
      <c r="B206" s="14" t="s">
        <v>358</v>
      </c>
      <c r="C206" s="71" t="s">
        <v>1086</v>
      </c>
    </row>
    <row r="207" spans="1:3">
      <c r="A207" s="14" t="s">
        <v>604</v>
      </c>
      <c r="B207" s="14" t="s">
        <v>362</v>
      </c>
      <c r="C207" s="71" t="s">
        <v>1087</v>
      </c>
    </row>
    <row r="208" spans="1:3">
      <c r="A208" s="14" t="s">
        <v>604</v>
      </c>
      <c r="B208" s="14" t="s">
        <v>392</v>
      </c>
      <c r="C208" s="71" t="s">
        <v>1088</v>
      </c>
    </row>
    <row r="209" spans="1:3">
      <c r="A209" s="14" t="s">
        <v>604</v>
      </c>
      <c r="B209" s="14" t="s">
        <v>394</v>
      </c>
      <c r="C209" s="71" t="s">
        <v>1089</v>
      </c>
    </row>
    <row r="210" spans="1:3">
      <c r="A210" s="14" t="s">
        <v>604</v>
      </c>
      <c r="B210" s="14" t="s">
        <v>396</v>
      </c>
      <c r="C210" s="71" t="s">
        <v>1090</v>
      </c>
    </row>
    <row r="211" spans="1:3">
      <c r="A211" s="14" t="s">
        <v>604</v>
      </c>
      <c r="B211" s="14" t="s">
        <v>413</v>
      </c>
      <c r="C211" s="71" t="s">
        <v>1091</v>
      </c>
    </row>
    <row r="212" spans="1:3">
      <c r="A212" s="14" t="s">
        <v>604</v>
      </c>
      <c r="B212" s="14" t="s">
        <v>694</v>
      </c>
      <c r="C212" s="71" t="s">
        <v>1092</v>
      </c>
    </row>
    <row r="213" spans="1:3">
      <c r="A213" s="14" t="s">
        <v>604</v>
      </c>
      <c r="B213" s="14" t="s">
        <v>695</v>
      </c>
      <c r="C213" s="71" t="s">
        <v>431</v>
      </c>
    </row>
    <row r="214" spans="1:3">
      <c r="A214" s="14" t="s">
        <v>604</v>
      </c>
      <c r="B214" s="14" t="s">
        <v>703</v>
      </c>
      <c r="C214" s="71" t="s">
        <v>1063</v>
      </c>
    </row>
    <row r="215" spans="1:3">
      <c r="A215" s="14" t="s">
        <v>604</v>
      </c>
      <c r="B215" s="14" t="s">
        <v>704</v>
      </c>
      <c r="C215" s="71" t="s">
        <v>826</v>
      </c>
    </row>
    <row r="216" spans="1:3">
      <c r="A216" s="14" t="s">
        <v>611</v>
      </c>
      <c r="B216" s="14" t="s">
        <v>358</v>
      </c>
      <c r="C216" s="71" t="s">
        <v>1093</v>
      </c>
    </row>
    <row r="217" spans="1:3">
      <c r="A217" s="14" t="s">
        <v>611</v>
      </c>
      <c r="B217" s="14" t="s">
        <v>362</v>
      </c>
      <c r="C217" s="71" t="s">
        <v>1094</v>
      </c>
    </row>
    <row r="218" spans="1:3">
      <c r="A218" s="14" t="s">
        <v>611</v>
      </c>
      <c r="B218" s="14" t="s">
        <v>392</v>
      </c>
      <c r="C218" s="71" t="s">
        <v>1095</v>
      </c>
    </row>
    <row r="219" spans="1:3">
      <c r="A219" s="14" t="s">
        <v>611</v>
      </c>
      <c r="B219" s="14" t="s">
        <v>394</v>
      </c>
      <c r="C219" s="71" t="s">
        <v>1096</v>
      </c>
    </row>
    <row r="220" spans="1:3">
      <c r="A220" s="14" t="s">
        <v>611</v>
      </c>
      <c r="B220" s="14" t="s">
        <v>396</v>
      </c>
      <c r="C220" s="71" t="s">
        <v>1097</v>
      </c>
    </row>
    <row r="221" spans="1:3">
      <c r="A221" s="14" t="s">
        <v>611</v>
      </c>
      <c r="B221" s="14" t="s">
        <v>413</v>
      </c>
      <c r="C221" s="71" t="s">
        <v>1098</v>
      </c>
    </row>
    <row r="222" spans="1:3">
      <c r="A222" s="14" t="s">
        <v>611</v>
      </c>
      <c r="B222" s="14" t="s">
        <v>694</v>
      </c>
      <c r="C222" s="71" t="s">
        <v>1099</v>
      </c>
    </row>
    <row r="223" spans="1:3">
      <c r="A223" s="14" t="s">
        <v>611</v>
      </c>
      <c r="B223" s="14" t="s">
        <v>695</v>
      </c>
      <c r="C223" s="71" t="s">
        <v>1100</v>
      </c>
    </row>
    <row r="224" spans="1:3">
      <c r="A224" s="14" t="s">
        <v>611</v>
      </c>
      <c r="B224" s="14" t="s">
        <v>703</v>
      </c>
      <c r="C224" s="71" t="s">
        <v>1101</v>
      </c>
    </row>
    <row r="225" spans="1:3">
      <c r="A225" s="14" t="s">
        <v>611</v>
      </c>
      <c r="B225" s="14" t="s">
        <v>704</v>
      </c>
      <c r="C225" s="71" t="s">
        <v>1102</v>
      </c>
    </row>
    <row r="226" spans="1:3">
      <c r="A226" s="14" t="s">
        <v>611</v>
      </c>
      <c r="B226" s="14" t="s">
        <v>705</v>
      </c>
      <c r="C226" s="71" t="s">
        <v>826</v>
      </c>
    </row>
    <row r="227" spans="1:3">
      <c r="A227" s="14" t="s">
        <v>614</v>
      </c>
      <c r="B227" s="14" t="s">
        <v>358</v>
      </c>
      <c r="C227" s="71" t="s">
        <v>416</v>
      </c>
    </row>
    <row r="228" spans="1:3">
      <c r="A228" s="14" t="s">
        <v>614</v>
      </c>
      <c r="B228" s="14" t="s">
        <v>362</v>
      </c>
      <c r="C228" s="14" t="s">
        <v>417</v>
      </c>
    </row>
    <row r="229" spans="1:3">
      <c r="A229" s="14" t="s">
        <v>614</v>
      </c>
      <c r="B229" s="14" t="s">
        <v>392</v>
      </c>
      <c r="C229" s="74" t="s">
        <v>615</v>
      </c>
    </row>
    <row r="230" spans="1:3">
      <c r="A230" s="14" t="s">
        <v>614</v>
      </c>
      <c r="B230" s="14" t="s">
        <v>394</v>
      </c>
      <c r="C230" s="14" t="s">
        <v>826</v>
      </c>
    </row>
    <row r="231" spans="1:3">
      <c r="A231" s="14" t="s">
        <v>619</v>
      </c>
      <c r="B231" s="14" t="s">
        <v>358</v>
      </c>
      <c r="C231" s="1" t="s">
        <v>749</v>
      </c>
    </row>
    <row r="232" spans="1:3">
      <c r="A232" s="14" t="s">
        <v>619</v>
      </c>
      <c r="B232" s="14" t="s">
        <v>362</v>
      </c>
      <c r="C232" s="71" t="s">
        <v>1103</v>
      </c>
    </row>
    <row r="233" spans="1:3">
      <c r="A233" s="14" t="s">
        <v>619</v>
      </c>
      <c r="B233" s="14" t="s">
        <v>392</v>
      </c>
      <c r="C233" s="71" t="s">
        <v>1104</v>
      </c>
    </row>
    <row r="234" spans="1:3">
      <c r="A234" s="14" t="s">
        <v>619</v>
      </c>
      <c r="B234" s="14" t="s">
        <v>394</v>
      </c>
      <c r="C234" s="71" t="s">
        <v>1105</v>
      </c>
    </row>
    <row r="235" spans="1:3">
      <c r="A235" s="14" t="s">
        <v>619</v>
      </c>
      <c r="B235" s="14" t="s">
        <v>396</v>
      </c>
      <c r="C235" s="71" t="s">
        <v>1106</v>
      </c>
    </row>
    <row r="236" spans="1:3">
      <c r="A236" s="14" t="s">
        <v>619</v>
      </c>
      <c r="B236" s="14" t="s">
        <v>413</v>
      </c>
      <c r="C236" s="71" t="s">
        <v>1051</v>
      </c>
    </row>
    <row r="237" spans="1:3">
      <c r="A237" s="14" t="s">
        <v>619</v>
      </c>
      <c r="B237" s="14" t="s">
        <v>694</v>
      </c>
      <c r="C237" s="71" t="s">
        <v>826</v>
      </c>
    </row>
    <row r="238" spans="1:3">
      <c r="A238" s="14" t="s">
        <v>624</v>
      </c>
      <c r="B238" s="14" t="s">
        <v>358</v>
      </c>
      <c r="C238" s="71" t="s">
        <v>625</v>
      </c>
    </row>
    <row r="239" spans="1:3">
      <c r="A239" s="14" t="s">
        <v>624</v>
      </c>
      <c r="B239" s="14" t="s">
        <v>362</v>
      </c>
      <c r="C239" s="14" t="s">
        <v>626</v>
      </c>
    </row>
    <row r="240" spans="1:3">
      <c r="A240" s="14" t="s">
        <v>624</v>
      </c>
      <c r="B240" s="14" t="s">
        <v>392</v>
      </c>
      <c r="C240" s="14" t="s">
        <v>627</v>
      </c>
    </row>
    <row r="241" spans="1:3">
      <c r="A241" s="14" t="s">
        <v>624</v>
      </c>
      <c r="B241" s="14" t="s">
        <v>394</v>
      </c>
      <c r="C241" s="14" t="s">
        <v>826</v>
      </c>
    </row>
    <row r="242" spans="1:3">
      <c r="A242" s="14" t="s">
        <v>637</v>
      </c>
      <c r="B242" s="14" t="s">
        <v>358</v>
      </c>
      <c r="C242" s="1" t="s">
        <v>1107</v>
      </c>
    </row>
    <row r="243" spans="1:3">
      <c r="A243" s="14" t="s">
        <v>637</v>
      </c>
      <c r="B243" s="14" t="s">
        <v>362</v>
      </c>
      <c r="C243" s="71" t="s">
        <v>1108</v>
      </c>
    </row>
    <row r="244" spans="1:3">
      <c r="A244" s="14" t="s">
        <v>637</v>
      </c>
      <c r="B244" s="14" t="s">
        <v>392</v>
      </c>
      <c r="C244" s="71" t="s">
        <v>1109</v>
      </c>
    </row>
    <row r="245" spans="1:3">
      <c r="A245" s="14" t="s">
        <v>637</v>
      </c>
      <c r="B245" s="14" t="s">
        <v>394</v>
      </c>
      <c r="C245" s="71" t="s">
        <v>1051</v>
      </c>
    </row>
    <row r="246" spans="1:3">
      <c r="A246" s="14" t="s">
        <v>637</v>
      </c>
      <c r="B246" s="14" t="s">
        <v>396</v>
      </c>
      <c r="C246" s="71" t="s">
        <v>826</v>
      </c>
    </row>
    <row r="247" spans="1:3">
      <c r="A247" s="14" t="s">
        <v>641</v>
      </c>
      <c r="B247" s="14" t="s">
        <v>358</v>
      </c>
      <c r="C247" s="71" t="s">
        <v>642</v>
      </c>
    </row>
    <row r="248" spans="1:3">
      <c r="A248" s="14" t="s">
        <v>641</v>
      </c>
      <c r="B248" s="14" t="s">
        <v>362</v>
      </c>
      <c r="C248" s="71" t="s">
        <v>1110</v>
      </c>
    </row>
    <row r="249" spans="1:3">
      <c r="A249" s="14" t="s">
        <v>641</v>
      </c>
      <c r="B249" s="14" t="s">
        <v>392</v>
      </c>
      <c r="C249" s="71" t="s">
        <v>1111</v>
      </c>
    </row>
    <row r="250" spans="1:3">
      <c r="A250" s="14" t="s">
        <v>641</v>
      </c>
      <c r="B250" s="14" t="s">
        <v>394</v>
      </c>
      <c r="C250" s="71" t="s">
        <v>1112</v>
      </c>
    </row>
    <row r="251" spans="1:3">
      <c r="A251" s="14" t="s">
        <v>641</v>
      </c>
      <c r="B251" s="14" t="s">
        <v>396</v>
      </c>
      <c r="C251" s="71" t="s">
        <v>1113</v>
      </c>
    </row>
    <row r="252" spans="1:3">
      <c r="A252" s="14" t="s">
        <v>641</v>
      </c>
      <c r="B252" s="14" t="s">
        <v>413</v>
      </c>
      <c r="C252" s="71" t="s">
        <v>1114</v>
      </c>
    </row>
    <row r="253" spans="1:3">
      <c r="A253" s="14" t="s">
        <v>641</v>
      </c>
      <c r="B253" s="14" t="s">
        <v>694</v>
      </c>
      <c r="C253" s="71" t="s">
        <v>1115</v>
      </c>
    </row>
    <row r="254" spans="1:3">
      <c r="A254" s="14" t="s">
        <v>641</v>
      </c>
      <c r="B254" s="14" t="s">
        <v>695</v>
      </c>
      <c r="C254" s="71" t="s">
        <v>826</v>
      </c>
    </row>
    <row r="255" spans="1:3">
      <c r="A255" s="14" t="s">
        <v>641</v>
      </c>
      <c r="B255" s="14" t="s">
        <v>703</v>
      </c>
      <c r="C255" s="71" t="s">
        <v>1120</v>
      </c>
    </row>
    <row r="256" spans="1:3">
      <c r="A256" s="14" t="s">
        <v>648</v>
      </c>
      <c r="B256" s="14" t="s">
        <v>358</v>
      </c>
      <c r="C256" s="71" t="s">
        <v>1116</v>
      </c>
    </row>
    <row r="257" spans="1:3">
      <c r="A257" s="14" t="s">
        <v>648</v>
      </c>
      <c r="B257" s="14" t="s">
        <v>362</v>
      </c>
      <c r="C257" s="71" t="s">
        <v>1117</v>
      </c>
    </row>
    <row r="258" spans="1:3">
      <c r="A258" s="14" t="s">
        <v>648</v>
      </c>
      <c r="B258" s="14" t="s">
        <v>392</v>
      </c>
      <c r="C258" s="71" t="s">
        <v>1118</v>
      </c>
    </row>
    <row r="259" spans="1:3">
      <c r="A259" s="14" t="s">
        <v>648</v>
      </c>
      <c r="B259" s="14" t="s">
        <v>394</v>
      </c>
      <c r="C259" s="71" t="s">
        <v>709</v>
      </c>
    </row>
    <row r="260" spans="1:3">
      <c r="A260" s="14" t="s">
        <v>648</v>
      </c>
      <c r="B260" s="14" t="s">
        <v>396</v>
      </c>
      <c r="C260" s="71" t="s">
        <v>1119</v>
      </c>
    </row>
    <row r="261" spans="1:3">
      <c r="A261" s="14" t="s">
        <v>648</v>
      </c>
      <c r="B261" s="14" t="s">
        <v>413</v>
      </c>
      <c r="C261" s="71" t="s">
        <v>1120</v>
      </c>
    </row>
    <row r="262" spans="1:3">
      <c r="A262" s="14" t="s">
        <v>648</v>
      </c>
      <c r="B262" s="14" t="s">
        <v>694</v>
      </c>
      <c r="C262" s="71" t="s">
        <v>826</v>
      </c>
    </row>
    <row r="263" spans="1:3">
      <c r="A263" s="14" t="s">
        <v>652</v>
      </c>
      <c r="B263" s="14" t="s">
        <v>358</v>
      </c>
      <c r="C263" s="71" t="s">
        <v>1121</v>
      </c>
    </row>
    <row r="264" spans="1:3">
      <c r="A264" s="14" t="s">
        <v>652</v>
      </c>
      <c r="B264" s="14" t="s">
        <v>362</v>
      </c>
      <c r="C264" s="71" t="s">
        <v>1122</v>
      </c>
    </row>
    <row r="265" spans="1:3">
      <c r="A265" s="14" t="s">
        <v>652</v>
      </c>
      <c r="B265" s="14" t="s">
        <v>392</v>
      </c>
      <c r="C265" s="71" t="s">
        <v>1123</v>
      </c>
    </row>
    <row r="266" spans="1:3">
      <c r="A266" s="14" t="s">
        <v>652</v>
      </c>
      <c r="B266" s="14" t="s">
        <v>394</v>
      </c>
      <c r="C266" s="71" t="s">
        <v>1124</v>
      </c>
    </row>
    <row r="267" spans="1:3">
      <c r="A267" s="14" t="s">
        <v>652</v>
      </c>
      <c r="B267" s="14" t="s">
        <v>396</v>
      </c>
      <c r="C267" s="71" t="s">
        <v>397</v>
      </c>
    </row>
    <row r="268" spans="1:3">
      <c r="A268" s="14" t="s">
        <v>652</v>
      </c>
      <c r="B268" s="14" t="s">
        <v>413</v>
      </c>
      <c r="C268" s="71" t="s">
        <v>1125</v>
      </c>
    </row>
    <row r="269" spans="1:3">
      <c r="A269" s="14" t="s">
        <v>652</v>
      </c>
      <c r="B269" s="14" t="s">
        <v>694</v>
      </c>
      <c r="C269" s="71" t="s">
        <v>826</v>
      </c>
    </row>
    <row r="270" spans="1:3">
      <c r="A270" s="14" t="s">
        <v>660</v>
      </c>
      <c r="B270" s="14" t="s">
        <v>358</v>
      </c>
      <c r="C270" s="71" t="s">
        <v>416</v>
      </c>
    </row>
    <row r="271" spans="1:3">
      <c r="A271" s="14" t="s">
        <v>660</v>
      </c>
      <c r="B271" s="14" t="s">
        <v>362</v>
      </c>
      <c r="C271" s="71" t="s">
        <v>417</v>
      </c>
    </row>
    <row r="272" spans="1:3">
      <c r="A272" s="14" t="s">
        <v>660</v>
      </c>
      <c r="B272" s="14" t="s">
        <v>392</v>
      </c>
      <c r="C272" s="71" t="s">
        <v>1126</v>
      </c>
    </row>
    <row r="273" spans="1:3">
      <c r="A273" s="14" t="s">
        <v>660</v>
      </c>
      <c r="B273" s="14" t="s">
        <v>394</v>
      </c>
      <c r="C273" s="71" t="s">
        <v>826</v>
      </c>
    </row>
    <row r="274" spans="1:3">
      <c r="A274" s="14" t="s">
        <v>663</v>
      </c>
      <c r="B274" s="14" t="s">
        <v>358</v>
      </c>
      <c r="C274" s="71" t="s">
        <v>1127</v>
      </c>
    </row>
    <row r="275" spans="1:3">
      <c r="A275" s="14" t="s">
        <v>663</v>
      </c>
      <c r="B275" s="14" t="s">
        <v>362</v>
      </c>
      <c r="C275" s="71" t="s">
        <v>1128</v>
      </c>
    </row>
    <row r="276" spans="1:3">
      <c r="A276" s="14" t="s">
        <v>663</v>
      </c>
      <c r="B276" s="14" t="s">
        <v>392</v>
      </c>
      <c r="C276" s="71" t="s">
        <v>1129</v>
      </c>
    </row>
    <row r="277" spans="1:3">
      <c r="A277" s="14" t="s">
        <v>663</v>
      </c>
      <c r="B277" s="14" t="s">
        <v>394</v>
      </c>
      <c r="C277" s="71" t="s">
        <v>1130</v>
      </c>
    </row>
    <row r="278" spans="1:3">
      <c r="A278" s="14" t="s">
        <v>663</v>
      </c>
      <c r="B278" s="14" t="s">
        <v>396</v>
      </c>
      <c r="C278" s="71" t="s">
        <v>1131</v>
      </c>
    </row>
    <row r="279" spans="1:3">
      <c r="A279" s="14" t="s">
        <v>663</v>
      </c>
      <c r="B279" s="14" t="s">
        <v>413</v>
      </c>
      <c r="C279" s="71" t="s">
        <v>802</v>
      </c>
    </row>
    <row r="280" spans="1:3">
      <c r="A280" s="14" t="s">
        <v>663</v>
      </c>
      <c r="B280" s="14" t="s">
        <v>694</v>
      </c>
      <c r="C280" s="71" t="s">
        <v>826</v>
      </c>
    </row>
    <row r="281" spans="1:3">
      <c r="A281" s="14" t="s">
        <v>666</v>
      </c>
      <c r="B281" s="14" t="s">
        <v>358</v>
      </c>
      <c r="C281" s="71" t="s">
        <v>1049</v>
      </c>
    </row>
    <row r="282" spans="1:3">
      <c r="A282" s="14" t="s">
        <v>666</v>
      </c>
      <c r="B282" s="14" t="s">
        <v>362</v>
      </c>
      <c r="C282" s="71" t="s">
        <v>1132</v>
      </c>
    </row>
    <row r="283" spans="1:3">
      <c r="A283" s="14" t="s">
        <v>666</v>
      </c>
      <c r="B283" s="14" t="s">
        <v>392</v>
      </c>
      <c r="C283" s="71" t="s">
        <v>1133</v>
      </c>
    </row>
    <row r="284" spans="1:3">
      <c r="A284" s="14" t="s">
        <v>666</v>
      </c>
      <c r="B284" s="14" t="s">
        <v>394</v>
      </c>
      <c r="C284" s="71" t="s">
        <v>1008</v>
      </c>
    </row>
    <row r="285" spans="1:3">
      <c r="A285" s="14" t="s">
        <v>666</v>
      </c>
      <c r="B285" s="14" t="s">
        <v>396</v>
      </c>
      <c r="C285" s="71" t="s">
        <v>1009</v>
      </c>
    </row>
    <row r="286" spans="1:3">
      <c r="A286" s="14" t="s">
        <v>666</v>
      </c>
      <c r="B286" s="14" t="s">
        <v>413</v>
      </c>
      <c r="C286" s="71" t="s">
        <v>1010</v>
      </c>
    </row>
    <row r="287" spans="1:3">
      <c r="A287" s="14" t="s">
        <v>666</v>
      </c>
      <c r="B287" s="14" t="s">
        <v>694</v>
      </c>
      <c r="C287" s="71" t="s">
        <v>1011</v>
      </c>
    </row>
    <row r="288" spans="1:3">
      <c r="A288" s="14" t="s">
        <v>666</v>
      </c>
      <c r="B288" s="14" t="s">
        <v>695</v>
      </c>
      <c r="C288" s="71" t="s">
        <v>1012</v>
      </c>
    </row>
    <row r="289" spans="1:3">
      <c r="A289" s="14" t="s">
        <v>666</v>
      </c>
      <c r="B289" s="14" t="s">
        <v>703</v>
      </c>
      <c r="C289" s="71" t="s">
        <v>1013</v>
      </c>
    </row>
    <row r="290" spans="1:3">
      <c r="A290" s="14" t="s">
        <v>666</v>
      </c>
      <c r="B290" s="14" t="s">
        <v>704</v>
      </c>
      <c r="C290" s="71" t="s">
        <v>1014</v>
      </c>
    </row>
    <row r="291" spans="1:3">
      <c r="A291" s="14" t="s">
        <v>666</v>
      </c>
      <c r="B291" s="14" t="s">
        <v>705</v>
      </c>
      <c r="C291" s="71" t="s">
        <v>1015</v>
      </c>
    </row>
    <row r="292" spans="1:3">
      <c r="A292" s="14" t="s">
        <v>666</v>
      </c>
      <c r="B292" s="14" t="s">
        <v>706</v>
      </c>
      <c r="C292" s="71" t="s">
        <v>1016</v>
      </c>
    </row>
    <row r="293" spans="1:3">
      <c r="A293" s="14" t="s">
        <v>666</v>
      </c>
      <c r="B293" s="14" t="s">
        <v>1025</v>
      </c>
      <c r="C293" s="71" t="s">
        <v>1017</v>
      </c>
    </row>
    <row r="294" spans="1:3">
      <c r="A294" s="14" t="s">
        <v>666</v>
      </c>
      <c r="B294" s="14" t="s">
        <v>1026</v>
      </c>
      <c r="C294" s="71" t="s">
        <v>1018</v>
      </c>
    </row>
    <row r="295" spans="1:3">
      <c r="A295" s="14" t="s">
        <v>666</v>
      </c>
      <c r="B295" s="14" t="s">
        <v>1027</v>
      </c>
      <c r="C295" s="71" t="s">
        <v>1019</v>
      </c>
    </row>
    <row r="296" spans="1:3">
      <c r="A296" s="14" t="s">
        <v>666</v>
      </c>
      <c r="B296" s="14" t="s">
        <v>1028</v>
      </c>
      <c r="C296" s="71" t="s">
        <v>1020</v>
      </c>
    </row>
    <row r="297" spans="1:3">
      <c r="A297" s="14" t="s">
        <v>666</v>
      </c>
      <c r="B297" s="14" t="s">
        <v>1029</v>
      </c>
      <c r="C297" s="71" t="s">
        <v>1021</v>
      </c>
    </row>
    <row r="298" spans="1:3">
      <c r="A298" s="14" t="s">
        <v>666</v>
      </c>
      <c r="B298" s="14" t="s">
        <v>1030</v>
      </c>
      <c r="C298" s="71" t="s">
        <v>1022</v>
      </c>
    </row>
    <row r="299" spans="1:3">
      <c r="A299" s="14" t="s">
        <v>666</v>
      </c>
      <c r="B299" s="14" t="s">
        <v>1031</v>
      </c>
      <c r="C299" s="71" t="s">
        <v>1023</v>
      </c>
    </row>
    <row r="300" spans="1:3">
      <c r="A300" s="14" t="s">
        <v>666</v>
      </c>
      <c r="B300" s="14" t="s">
        <v>1032</v>
      </c>
      <c r="C300" s="71" t="s">
        <v>1024</v>
      </c>
    </row>
    <row r="301" spans="1:3">
      <c r="A301" s="14" t="s">
        <v>667</v>
      </c>
      <c r="B301" s="14" t="s">
        <v>358</v>
      </c>
      <c r="C301" s="71" t="s">
        <v>1134</v>
      </c>
    </row>
    <row r="302" spans="1:3">
      <c r="A302" s="14" t="s">
        <v>667</v>
      </c>
      <c r="B302" s="14" t="s">
        <v>362</v>
      </c>
      <c r="C302" s="71" t="s">
        <v>1135</v>
      </c>
    </row>
    <row r="303" spans="1:3">
      <c r="A303" s="14" t="s">
        <v>667</v>
      </c>
      <c r="B303" s="14" t="s">
        <v>392</v>
      </c>
      <c r="C303" s="71" t="s">
        <v>1136</v>
      </c>
    </row>
    <row r="304" spans="1:3">
      <c r="A304" s="14" t="s">
        <v>667</v>
      </c>
      <c r="B304" s="14" t="s">
        <v>394</v>
      </c>
      <c r="C304" s="71" t="s">
        <v>1137</v>
      </c>
    </row>
    <row r="305" spans="1:3">
      <c r="A305" s="14" t="s">
        <v>667</v>
      </c>
      <c r="B305" s="14" t="s">
        <v>396</v>
      </c>
      <c r="C305" s="71" t="s">
        <v>515</v>
      </c>
    </row>
    <row r="306" spans="1:3">
      <c r="A306" s="14" t="s">
        <v>667</v>
      </c>
      <c r="B306" s="14" t="s">
        <v>413</v>
      </c>
      <c r="C306" s="71" t="s">
        <v>826</v>
      </c>
    </row>
    <row r="307" spans="1:3">
      <c r="A307" s="14" t="s">
        <v>670</v>
      </c>
      <c r="B307" s="14" t="s">
        <v>358</v>
      </c>
      <c r="C307" s="71" t="s">
        <v>1007</v>
      </c>
    </row>
    <row r="308" spans="1:3">
      <c r="A308" s="14" t="s">
        <v>670</v>
      </c>
      <c r="B308" s="14" t="s">
        <v>362</v>
      </c>
      <c r="C308" s="71" t="s">
        <v>1138</v>
      </c>
    </row>
    <row r="309" spans="1:3">
      <c r="A309" s="14" t="s">
        <v>670</v>
      </c>
      <c r="B309" s="14" t="s">
        <v>392</v>
      </c>
      <c r="C309" s="71" t="s">
        <v>1139</v>
      </c>
    </row>
    <row r="310" spans="1:3">
      <c r="A310" s="14" t="s">
        <v>670</v>
      </c>
      <c r="B310" s="14" t="s">
        <v>394</v>
      </c>
      <c r="C310" s="71" t="s">
        <v>1140</v>
      </c>
    </row>
    <row r="311" spans="1:3">
      <c r="A311" s="14" t="s">
        <v>670</v>
      </c>
      <c r="B311" s="14" t="s">
        <v>396</v>
      </c>
      <c r="C311" s="71" t="s">
        <v>1141</v>
      </c>
    </row>
    <row r="312" spans="1:3">
      <c r="A312" s="14" t="s">
        <v>670</v>
      </c>
      <c r="B312" s="14" t="s">
        <v>413</v>
      </c>
      <c r="C312" s="71" t="s">
        <v>1142</v>
      </c>
    </row>
    <row r="313" spans="1:3">
      <c r="A313" s="14" t="s">
        <v>670</v>
      </c>
      <c r="B313" s="14" t="s">
        <v>694</v>
      </c>
      <c r="C313" s="71" t="s">
        <v>1143</v>
      </c>
    </row>
    <row r="314" spans="1:3">
      <c r="A314" s="14" t="s">
        <v>670</v>
      </c>
      <c r="B314" s="14" t="s">
        <v>695</v>
      </c>
      <c r="C314" s="71" t="s">
        <v>1144</v>
      </c>
    </row>
    <row r="315" spans="1:3">
      <c r="A315" s="14" t="s">
        <v>670</v>
      </c>
      <c r="B315" s="14" t="s">
        <v>703</v>
      </c>
      <c r="C315" s="71" t="s">
        <v>397</v>
      </c>
    </row>
    <row r="316" spans="1:3">
      <c r="A316" s="14" t="s">
        <v>670</v>
      </c>
      <c r="B316" s="14" t="s">
        <v>704</v>
      </c>
      <c r="C316" s="71" t="s">
        <v>826</v>
      </c>
    </row>
    <row r="317" spans="1:3">
      <c r="A317" s="14" t="s">
        <v>675</v>
      </c>
      <c r="B317" s="14" t="s">
        <v>358</v>
      </c>
      <c r="C317" s="71" t="s">
        <v>1145</v>
      </c>
    </row>
    <row r="318" spans="1:3">
      <c r="A318" s="14" t="s">
        <v>675</v>
      </c>
      <c r="B318" s="14" t="s">
        <v>362</v>
      </c>
      <c r="C318" s="71" t="s">
        <v>1146</v>
      </c>
    </row>
    <row r="319" spans="1:3">
      <c r="A319" s="14" t="s">
        <v>675</v>
      </c>
      <c r="B319" s="14" t="s">
        <v>392</v>
      </c>
      <c r="C319" s="71" t="s">
        <v>1147</v>
      </c>
    </row>
    <row r="320" spans="1:3">
      <c r="A320" s="14" t="s">
        <v>675</v>
      </c>
      <c r="B320" s="14" t="s">
        <v>394</v>
      </c>
      <c r="C320" s="71" t="s">
        <v>1148</v>
      </c>
    </row>
    <row r="321" spans="1:3">
      <c r="A321" s="14" t="s">
        <v>675</v>
      </c>
      <c r="B321" s="14" t="s">
        <v>396</v>
      </c>
      <c r="C321" s="71" t="s">
        <v>1149</v>
      </c>
    </row>
    <row r="322" spans="1:3">
      <c r="A322" s="14" t="s">
        <v>675</v>
      </c>
      <c r="B322" s="14" t="s">
        <v>413</v>
      </c>
      <c r="C322" s="71" t="s">
        <v>826</v>
      </c>
    </row>
    <row r="323" spans="1:3">
      <c r="A323" s="14" t="s">
        <v>680</v>
      </c>
      <c r="B323" s="14" t="s">
        <v>358</v>
      </c>
      <c r="C323" s="71" t="s">
        <v>1150</v>
      </c>
    </row>
    <row r="324" spans="1:3">
      <c r="A324" s="14" t="s">
        <v>680</v>
      </c>
      <c r="B324" s="14" t="s">
        <v>362</v>
      </c>
      <c r="C324" s="71" t="s">
        <v>1151</v>
      </c>
    </row>
    <row r="325" spans="1:3">
      <c r="A325" s="14" t="s">
        <v>680</v>
      </c>
      <c r="B325" s="14" t="s">
        <v>392</v>
      </c>
      <c r="C325" s="71" t="s">
        <v>1152</v>
      </c>
    </row>
    <row r="326" spans="1:3">
      <c r="A326" s="14" t="s">
        <v>680</v>
      </c>
      <c r="B326" s="14" t="s">
        <v>394</v>
      </c>
      <c r="C326" s="71" t="s">
        <v>1153</v>
      </c>
    </row>
    <row r="327" spans="1:3">
      <c r="A327" s="14" t="s">
        <v>680</v>
      </c>
      <c r="B327" s="14" t="s">
        <v>396</v>
      </c>
      <c r="C327" s="71" t="s">
        <v>1051</v>
      </c>
    </row>
    <row r="328" spans="1:3">
      <c r="A328" s="14" t="s">
        <v>680</v>
      </c>
      <c r="B328" s="14" t="s">
        <v>413</v>
      </c>
      <c r="C328" s="71" t="s">
        <v>826</v>
      </c>
    </row>
    <row r="329" spans="1:3">
      <c r="A329" s="14" t="s">
        <v>684</v>
      </c>
      <c r="B329" s="14" t="s">
        <v>358</v>
      </c>
      <c r="C329" s="71" t="s">
        <v>1154</v>
      </c>
    </row>
    <row r="330" spans="1:3">
      <c r="A330" s="14" t="s">
        <v>684</v>
      </c>
      <c r="B330" s="14" t="s">
        <v>362</v>
      </c>
      <c r="C330" s="71" t="s">
        <v>1155</v>
      </c>
    </row>
    <row r="331" spans="1:3">
      <c r="A331" s="14" t="s">
        <v>684</v>
      </c>
      <c r="B331" s="14" t="s">
        <v>392</v>
      </c>
      <c r="C331" s="71" t="s">
        <v>1156</v>
      </c>
    </row>
    <row r="332" spans="1:3">
      <c r="A332" s="14" t="s">
        <v>684</v>
      </c>
      <c r="B332" s="14" t="s">
        <v>394</v>
      </c>
      <c r="C332" s="71" t="s">
        <v>826</v>
      </c>
    </row>
    <row r="333" spans="1:3">
      <c r="A333" s="14" t="s">
        <v>687</v>
      </c>
      <c r="B333" s="14" t="s">
        <v>358</v>
      </c>
      <c r="C333" s="71" t="s">
        <v>1157</v>
      </c>
    </row>
    <row r="334" spans="1:3">
      <c r="A334" s="14" t="s">
        <v>687</v>
      </c>
      <c r="B334" s="14" t="s">
        <v>362</v>
      </c>
      <c r="C334" s="71" t="s">
        <v>1158</v>
      </c>
    </row>
    <row r="335" spans="1:3">
      <c r="A335" s="14" t="s">
        <v>687</v>
      </c>
      <c r="B335" s="14" t="s">
        <v>392</v>
      </c>
      <c r="C335" s="71" t="s">
        <v>432</v>
      </c>
    </row>
    <row r="336" spans="1:3">
      <c r="A336" s="14" t="s">
        <v>687</v>
      </c>
      <c r="B336" s="14" t="s">
        <v>394</v>
      </c>
      <c r="C336" s="71" t="s">
        <v>1159</v>
      </c>
    </row>
    <row r="337" spans="1:3">
      <c r="A337" s="14" t="s">
        <v>687</v>
      </c>
      <c r="B337" s="1" t="s">
        <v>396</v>
      </c>
      <c r="C337" s="71" t="s">
        <v>826</v>
      </c>
    </row>
    <row r="338" spans="1:3">
      <c r="A338" t="s">
        <v>707</v>
      </c>
      <c r="B338" t="s">
        <v>358</v>
      </c>
      <c r="C338" t="s">
        <v>708</v>
      </c>
    </row>
    <row r="339" spans="1:3">
      <c r="A339" t="s">
        <v>707</v>
      </c>
      <c r="B339" t="s">
        <v>362</v>
      </c>
      <c r="C339" s="74" t="s">
        <v>709</v>
      </c>
    </row>
    <row r="340" spans="1:3">
      <c r="A340" t="s">
        <v>707</v>
      </c>
      <c r="B340" t="s">
        <v>392</v>
      </c>
      <c r="C340" t="s">
        <v>710</v>
      </c>
    </row>
    <row r="341" spans="1:3">
      <c r="A341" t="s">
        <v>707</v>
      </c>
      <c r="B341" t="s">
        <v>394</v>
      </c>
      <c r="C341" t="s">
        <v>711</v>
      </c>
    </row>
    <row r="342" spans="1:3">
      <c r="A342" t="s">
        <v>707</v>
      </c>
      <c r="B342" t="s">
        <v>396</v>
      </c>
      <c r="C342" t="s">
        <v>431</v>
      </c>
    </row>
    <row r="343" spans="1:3">
      <c r="A343" t="s">
        <v>707</v>
      </c>
      <c r="B343" t="s">
        <v>413</v>
      </c>
      <c r="C343" t="s">
        <v>826</v>
      </c>
    </row>
    <row r="344" spans="1:3">
      <c r="A344" t="s">
        <v>718</v>
      </c>
      <c r="B344" t="s">
        <v>358</v>
      </c>
      <c r="C344" t="s">
        <v>719</v>
      </c>
    </row>
    <row r="345" spans="1:3">
      <c r="A345" t="s">
        <v>718</v>
      </c>
      <c r="B345" t="s">
        <v>362</v>
      </c>
      <c r="C345" t="s">
        <v>720</v>
      </c>
    </row>
    <row r="346" spans="1:3">
      <c r="A346" t="s">
        <v>718</v>
      </c>
      <c r="B346" t="s">
        <v>392</v>
      </c>
      <c r="C346" t="s">
        <v>721</v>
      </c>
    </row>
    <row r="347" spans="1:3">
      <c r="A347" t="s">
        <v>718</v>
      </c>
      <c r="B347" t="s">
        <v>394</v>
      </c>
      <c r="C347" t="s">
        <v>722</v>
      </c>
    </row>
    <row r="348" spans="1:3">
      <c r="A348" t="s">
        <v>718</v>
      </c>
      <c r="B348" t="s">
        <v>396</v>
      </c>
      <c r="C348" t="s">
        <v>723</v>
      </c>
    </row>
    <row r="349" spans="1:3">
      <c r="A349" t="s">
        <v>718</v>
      </c>
      <c r="B349" t="s">
        <v>413</v>
      </c>
      <c r="C349" t="s">
        <v>724</v>
      </c>
    </row>
    <row r="350" spans="1:3">
      <c r="A350" t="s">
        <v>718</v>
      </c>
      <c r="B350" t="s">
        <v>694</v>
      </c>
      <c r="C350" t="s">
        <v>993</v>
      </c>
    </row>
    <row r="351" spans="1:3">
      <c r="A351" t="s">
        <v>718</v>
      </c>
      <c r="B351" t="s">
        <v>695</v>
      </c>
      <c r="C351" t="s">
        <v>1004</v>
      </c>
    </row>
    <row r="352" spans="1:3">
      <c r="A352" t="s">
        <v>718</v>
      </c>
      <c r="B352" t="s">
        <v>703</v>
      </c>
      <c r="C352" t="s">
        <v>725</v>
      </c>
    </row>
    <row r="353" spans="1:3">
      <c r="A353" t="s">
        <v>718</v>
      </c>
      <c r="B353" t="s">
        <v>704</v>
      </c>
      <c r="C353" t="s">
        <v>826</v>
      </c>
    </row>
    <row r="354" spans="1:3">
      <c r="A354" t="s">
        <v>726</v>
      </c>
      <c r="B354" t="s">
        <v>358</v>
      </c>
      <c r="C354" t="s">
        <v>727</v>
      </c>
    </row>
    <row r="355" spans="1:3">
      <c r="A355" t="s">
        <v>726</v>
      </c>
      <c r="B355" t="s">
        <v>362</v>
      </c>
      <c r="C355" t="s">
        <v>728</v>
      </c>
    </row>
    <row r="356" spans="1:3">
      <c r="A356" t="s">
        <v>726</v>
      </c>
      <c r="B356" t="s">
        <v>392</v>
      </c>
      <c r="C356" t="s">
        <v>729</v>
      </c>
    </row>
    <row r="357" spans="1:3">
      <c r="A357" t="s">
        <v>726</v>
      </c>
      <c r="B357" t="s">
        <v>394</v>
      </c>
      <c r="C357" t="s">
        <v>826</v>
      </c>
    </row>
    <row r="358" spans="1:3">
      <c r="A358" t="s">
        <v>748</v>
      </c>
      <c r="B358" t="s">
        <v>358</v>
      </c>
      <c r="C358" t="s">
        <v>749</v>
      </c>
    </row>
    <row r="359" spans="1:3">
      <c r="A359" t="s">
        <v>748</v>
      </c>
      <c r="B359" t="s">
        <v>362</v>
      </c>
      <c r="C359" t="s">
        <v>750</v>
      </c>
    </row>
    <row r="360" spans="1:3">
      <c r="A360" t="s">
        <v>748</v>
      </c>
      <c r="B360" t="s">
        <v>392</v>
      </c>
      <c r="C360" t="s">
        <v>751</v>
      </c>
    </row>
    <row r="361" spans="1:3">
      <c r="A361" t="s">
        <v>748</v>
      </c>
      <c r="B361" t="s">
        <v>394</v>
      </c>
      <c r="C361" t="s">
        <v>752</v>
      </c>
    </row>
    <row r="362" spans="1:3">
      <c r="A362" t="s">
        <v>748</v>
      </c>
      <c r="B362" t="s">
        <v>396</v>
      </c>
      <c r="C362" t="s">
        <v>431</v>
      </c>
    </row>
    <row r="363" spans="1:3">
      <c r="A363" t="s">
        <v>748</v>
      </c>
      <c r="B363" t="s">
        <v>413</v>
      </c>
      <c r="C363" t="s">
        <v>826</v>
      </c>
    </row>
    <row r="364" spans="1:3">
      <c r="A364" t="s">
        <v>753</v>
      </c>
      <c r="B364" t="s">
        <v>754</v>
      </c>
      <c r="C364" t="s">
        <v>754</v>
      </c>
    </row>
    <row r="365" spans="1:3">
      <c r="A365" t="s">
        <v>753</v>
      </c>
      <c r="B365" t="s">
        <v>755</v>
      </c>
      <c r="C365" t="s">
        <v>755</v>
      </c>
    </row>
    <row r="366" spans="1:3">
      <c r="A366" t="s">
        <v>753</v>
      </c>
      <c r="B366" t="s">
        <v>756</v>
      </c>
      <c r="C366" t="s">
        <v>756</v>
      </c>
    </row>
    <row r="367" spans="1:3">
      <c r="A367" t="s">
        <v>753</v>
      </c>
      <c r="B367" t="s">
        <v>757</v>
      </c>
      <c r="C367" t="s">
        <v>757</v>
      </c>
    </row>
    <row r="368" spans="1:3">
      <c r="A368" t="s">
        <v>753</v>
      </c>
      <c r="B368" t="s">
        <v>758</v>
      </c>
      <c r="C368" t="s">
        <v>758</v>
      </c>
    </row>
    <row r="369" spans="1:3">
      <c r="A369" t="s">
        <v>753</v>
      </c>
      <c r="B369" t="s">
        <v>359</v>
      </c>
      <c r="C369" t="s">
        <v>826</v>
      </c>
    </row>
    <row r="370" spans="1:3">
      <c r="A370" t="s">
        <v>759</v>
      </c>
      <c r="B370" t="s">
        <v>358</v>
      </c>
      <c r="C370" t="s">
        <v>760</v>
      </c>
    </row>
    <row r="371" spans="1:3">
      <c r="A371" t="s">
        <v>759</v>
      </c>
      <c r="B371" t="s">
        <v>362</v>
      </c>
      <c r="C371" t="s">
        <v>761</v>
      </c>
    </row>
    <row r="372" spans="1:3">
      <c r="A372" t="s">
        <v>759</v>
      </c>
      <c r="B372" t="s">
        <v>392</v>
      </c>
      <c r="C372" t="s">
        <v>826</v>
      </c>
    </row>
    <row r="373" spans="1:3">
      <c r="A373" t="s">
        <v>780</v>
      </c>
      <c r="B373" t="s">
        <v>358</v>
      </c>
      <c r="C373" t="s">
        <v>781</v>
      </c>
    </row>
    <row r="374" spans="1:3">
      <c r="A374" t="s">
        <v>780</v>
      </c>
      <c r="B374" t="s">
        <v>362</v>
      </c>
      <c r="C374" t="s">
        <v>782</v>
      </c>
    </row>
    <row r="375" spans="1:3">
      <c r="A375" t="s">
        <v>780</v>
      </c>
      <c r="B375" t="s">
        <v>392</v>
      </c>
      <c r="C375" t="s">
        <v>783</v>
      </c>
    </row>
    <row r="376" spans="1:3">
      <c r="A376" t="s">
        <v>780</v>
      </c>
      <c r="B376" t="s">
        <v>394</v>
      </c>
      <c r="C376" t="s">
        <v>784</v>
      </c>
    </row>
    <row r="377" spans="1:3">
      <c r="A377" t="s">
        <v>780</v>
      </c>
      <c r="B377" t="s">
        <v>396</v>
      </c>
      <c r="C377" t="s">
        <v>785</v>
      </c>
    </row>
    <row r="378" spans="1:3">
      <c r="A378" t="s">
        <v>780</v>
      </c>
      <c r="B378" t="s">
        <v>413</v>
      </c>
      <c r="C378" t="s">
        <v>1005</v>
      </c>
    </row>
    <row r="379" spans="1:3">
      <c r="A379" t="s">
        <v>780</v>
      </c>
      <c r="B379" t="s">
        <v>694</v>
      </c>
      <c r="C379" t="s">
        <v>1006</v>
      </c>
    </row>
    <row r="380" spans="1:3">
      <c r="A380" t="s">
        <v>780</v>
      </c>
      <c r="B380" t="s">
        <v>695</v>
      </c>
      <c r="C380" t="s">
        <v>786</v>
      </c>
    </row>
    <row r="381" spans="1:3">
      <c r="A381" t="s">
        <v>780</v>
      </c>
      <c r="B381" t="s">
        <v>703</v>
      </c>
      <c r="C381" t="s">
        <v>397</v>
      </c>
    </row>
    <row r="382" spans="1:3">
      <c r="A382" t="s">
        <v>780</v>
      </c>
      <c r="B382" t="s">
        <v>704</v>
      </c>
      <c r="C382" t="s">
        <v>826</v>
      </c>
    </row>
    <row r="383" spans="1:3">
      <c r="A383" t="s">
        <v>795</v>
      </c>
      <c r="B383" t="s">
        <v>358</v>
      </c>
      <c r="C383" t="s">
        <v>711</v>
      </c>
    </row>
    <row r="384" spans="1:3">
      <c r="A384" t="s">
        <v>795</v>
      </c>
      <c r="B384" t="s">
        <v>362</v>
      </c>
      <c r="C384" t="s">
        <v>796</v>
      </c>
    </row>
    <row r="385" spans="1:3">
      <c r="A385" t="s">
        <v>795</v>
      </c>
      <c r="B385" t="s">
        <v>392</v>
      </c>
      <c r="C385" t="s">
        <v>797</v>
      </c>
    </row>
    <row r="386" spans="1:3">
      <c r="A386" t="s">
        <v>795</v>
      </c>
      <c r="B386" t="s">
        <v>394</v>
      </c>
      <c r="C386" t="s">
        <v>826</v>
      </c>
    </row>
    <row r="387" spans="1:3">
      <c r="A387" t="s">
        <v>798</v>
      </c>
      <c r="B387" t="s">
        <v>358</v>
      </c>
      <c r="C387" t="s">
        <v>799</v>
      </c>
    </row>
    <row r="388" spans="1:3">
      <c r="A388" t="s">
        <v>798</v>
      </c>
      <c r="B388" t="s">
        <v>362</v>
      </c>
      <c r="C388" t="s">
        <v>800</v>
      </c>
    </row>
    <row r="389" spans="1:3">
      <c r="A389" t="s">
        <v>798</v>
      </c>
      <c r="B389" t="s">
        <v>392</v>
      </c>
      <c r="C389" t="s">
        <v>801</v>
      </c>
    </row>
    <row r="390" spans="1:3">
      <c r="A390" t="s">
        <v>798</v>
      </c>
      <c r="B390" t="s">
        <v>394</v>
      </c>
      <c r="C390" t="s">
        <v>802</v>
      </c>
    </row>
    <row r="391" spans="1:3">
      <c r="A391" t="s">
        <v>798</v>
      </c>
      <c r="B391" s="14" t="s">
        <v>396</v>
      </c>
      <c r="C391" s="14" t="s">
        <v>826</v>
      </c>
    </row>
    <row r="392" spans="1:3">
      <c r="A392" s="14" t="s">
        <v>864</v>
      </c>
      <c r="B392" s="14" t="s">
        <v>358</v>
      </c>
      <c r="C392" s="14" t="s">
        <v>865</v>
      </c>
    </row>
    <row r="393" spans="1:3">
      <c r="A393" s="14" t="s">
        <v>864</v>
      </c>
      <c r="B393" s="14" t="s">
        <v>362</v>
      </c>
      <c r="C393" s="14" t="s">
        <v>866</v>
      </c>
    </row>
    <row r="394" spans="1:3">
      <c r="A394" s="14" t="s">
        <v>864</v>
      </c>
      <c r="B394" s="14" t="s">
        <v>392</v>
      </c>
      <c r="C394" s="14" t="s">
        <v>867</v>
      </c>
    </row>
    <row r="395" spans="1:3">
      <c r="A395" s="14" t="s">
        <v>864</v>
      </c>
      <c r="B395" s="14" t="s">
        <v>394</v>
      </c>
      <c r="C395" s="14" t="s">
        <v>397</v>
      </c>
    </row>
    <row r="396" spans="1:3">
      <c r="A396" s="14" t="s">
        <v>864</v>
      </c>
      <c r="B396" s="14" t="s">
        <v>396</v>
      </c>
      <c r="C396" s="14" t="s">
        <v>826</v>
      </c>
    </row>
    <row r="397" spans="1:3">
      <c r="A397" s="14" t="s">
        <v>913</v>
      </c>
      <c r="B397" s="14" t="s">
        <v>358</v>
      </c>
      <c r="C397" s="14" t="s">
        <v>914</v>
      </c>
    </row>
    <row r="398" spans="1:3">
      <c r="A398" s="14" t="s">
        <v>913</v>
      </c>
      <c r="B398" s="14" t="s">
        <v>362</v>
      </c>
      <c r="C398" s="14" t="s">
        <v>915</v>
      </c>
    </row>
    <row r="399" spans="1:3">
      <c r="A399" s="14" t="s">
        <v>913</v>
      </c>
      <c r="B399" s="14" t="s">
        <v>392</v>
      </c>
      <c r="C399" s="14" t="s">
        <v>916</v>
      </c>
    </row>
    <row r="400" spans="1:3">
      <c r="A400" s="14" t="s">
        <v>913</v>
      </c>
      <c r="B400" s="14" t="s">
        <v>394</v>
      </c>
      <c r="C400" s="14" t="s">
        <v>917</v>
      </c>
    </row>
    <row r="401" spans="1:3">
      <c r="A401" s="14" t="s">
        <v>913</v>
      </c>
      <c r="B401" s="14" t="s">
        <v>396</v>
      </c>
      <c r="C401" s="14" t="s">
        <v>826</v>
      </c>
    </row>
    <row r="402" spans="1:3">
      <c r="A402" s="14" t="s">
        <v>918</v>
      </c>
      <c r="B402" s="14" t="s">
        <v>358</v>
      </c>
      <c r="C402" s="14" t="s">
        <v>919</v>
      </c>
    </row>
    <row r="403" spans="1:3">
      <c r="A403" s="14" t="s">
        <v>918</v>
      </c>
      <c r="B403" s="14" t="s">
        <v>362</v>
      </c>
      <c r="C403" s="14" t="s">
        <v>920</v>
      </c>
    </row>
    <row r="404" spans="1:3">
      <c r="A404" s="14" t="s">
        <v>918</v>
      </c>
      <c r="B404" s="14" t="s">
        <v>392</v>
      </c>
      <c r="C404" s="14" t="s">
        <v>921</v>
      </c>
    </row>
    <row r="405" spans="1:3">
      <c r="A405" s="14" t="s">
        <v>918</v>
      </c>
      <c r="B405" s="14" t="s">
        <v>394</v>
      </c>
      <c r="C405" s="14" t="s">
        <v>922</v>
      </c>
    </row>
    <row r="406" spans="1:3">
      <c r="A406" s="14" t="s">
        <v>918</v>
      </c>
      <c r="B406" s="14" t="s">
        <v>396</v>
      </c>
      <c r="C406" s="14" t="s">
        <v>431</v>
      </c>
    </row>
    <row r="407" spans="1:3">
      <c r="A407" s="14" t="s">
        <v>918</v>
      </c>
      <c r="B407" s="14" t="s">
        <v>413</v>
      </c>
      <c r="C407" s="14" t="s">
        <v>826</v>
      </c>
    </row>
    <row r="408" spans="1:3">
      <c r="A408" s="14" t="s">
        <v>957</v>
      </c>
      <c r="B408" s="14" t="s">
        <v>358</v>
      </c>
      <c r="C408" s="14" t="s">
        <v>416</v>
      </c>
    </row>
    <row r="409" spans="1:3">
      <c r="A409" s="14" t="s">
        <v>957</v>
      </c>
      <c r="B409" s="14" t="s">
        <v>362</v>
      </c>
      <c r="C409" s="14" t="s">
        <v>417</v>
      </c>
    </row>
    <row r="410" spans="1:3">
      <c r="A410" s="14" t="s">
        <v>957</v>
      </c>
      <c r="B410" s="14" t="s">
        <v>392</v>
      </c>
      <c r="C410" s="14" t="s">
        <v>958</v>
      </c>
    </row>
    <row r="411" spans="1:3">
      <c r="A411" s="14" t="s">
        <v>957</v>
      </c>
      <c r="B411" s="14" t="s">
        <v>394</v>
      </c>
      <c r="C411" s="14" t="s">
        <v>826</v>
      </c>
    </row>
    <row r="412" spans="1:3">
      <c r="A412" s="14" t="s">
        <v>976</v>
      </c>
      <c r="B412" s="14" t="s">
        <v>358</v>
      </c>
      <c r="C412" s="14" t="s">
        <v>977</v>
      </c>
    </row>
    <row r="413" spans="1:3">
      <c r="A413" s="14" t="s">
        <v>976</v>
      </c>
      <c r="B413" s="14" t="s">
        <v>362</v>
      </c>
      <c r="C413" s="14" t="s">
        <v>978</v>
      </c>
    </row>
    <row r="414" spans="1:3">
      <c r="A414" s="14" t="s">
        <v>976</v>
      </c>
      <c r="B414" s="14" t="s">
        <v>392</v>
      </c>
      <c r="C414" s="14" t="s">
        <v>979</v>
      </c>
    </row>
    <row r="415" spans="1:3">
      <c r="A415" s="14" t="s">
        <v>976</v>
      </c>
      <c r="B415" s="14" t="s">
        <v>394</v>
      </c>
      <c r="C415" s="14" t="s">
        <v>980</v>
      </c>
    </row>
    <row r="416" spans="1:3">
      <c r="A416" t="s">
        <v>1160</v>
      </c>
      <c r="B416" t="s">
        <v>358</v>
      </c>
      <c r="C416" t="s">
        <v>1161</v>
      </c>
    </row>
    <row r="417" spans="1:3">
      <c r="A417" t="s">
        <v>1160</v>
      </c>
      <c r="B417" t="s">
        <v>362</v>
      </c>
      <c r="C417" t="s">
        <v>1162</v>
      </c>
    </row>
    <row r="418" spans="1:3">
      <c r="A418" t="s">
        <v>1160</v>
      </c>
      <c r="B418" t="s">
        <v>392</v>
      </c>
      <c r="C418" t="s">
        <v>1163</v>
      </c>
    </row>
    <row r="419" spans="1:3">
      <c r="A419" t="s">
        <v>1160</v>
      </c>
      <c r="B419" t="s">
        <v>394</v>
      </c>
      <c r="C419" t="s">
        <v>1164</v>
      </c>
    </row>
    <row r="420" spans="1:3">
      <c r="A420" t="s">
        <v>1160</v>
      </c>
      <c r="B420" t="s">
        <v>396</v>
      </c>
      <c r="C420" t="s">
        <v>826</v>
      </c>
    </row>
    <row r="421" spans="1:3">
      <c r="A421" t="s">
        <v>1178</v>
      </c>
      <c r="B421" t="s">
        <v>392</v>
      </c>
      <c r="C421" t="s">
        <v>1179</v>
      </c>
    </row>
    <row r="422" spans="1:3">
      <c r="A422" t="s">
        <v>1178</v>
      </c>
      <c r="B422" t="s">
        <v>358</v>
      </c>
      <c r="C422" t="s">
        <v>1180</v>
      </c>
    </row>
    <row r="423" spans="1:3">
      <c r="A423" t="s">
        <v>1178</v>
      </c>
      <c r="B423" t="s">
        <v>362</v>
      </c>
      <c r="C423" t="s">
        <v>826</v>
      </c>
    </row>
  </sheetData>
  <sheetProtection selectLockedCells="1" selectUnlockedCells="1"/>
  <phoneticPr fontId="1" type="noConversion"/>
  <conditionalFormatting sqref="A133:A136">
    <cfRule type="expression" dxfId="130" priority="85" stopIfTrue="1">
      <formula>OR(AND(LEFT($A133, 14)="sensor_stream ", LEN($A133)&gt;14, NOT(ISNUMBER(SEARCH(" ", $A133, 15)))), AND(LEFT($A133, 17)="sensor_statistic ", LEN($A133)&gt;17, NOT(ISNUMBER(SEARCH(" ", $A133, 18)))))</formula>
    </cfRule>
    <cfRule type="expression" dxfId="129" priority="118" stopIfTrue="1">
      <formula>$A133="begin group"</formula>
    </cfRule>
    <cfRule type="expression" dxfId="128" priority="81" stopIfTrue="1">
      <formula>$A133="file"</formula>
    </cfRule>
    <cfRule type="expression" dxfId="127" priority="82" stopIfTrue="1">
      <formula>$A133="file"</formula>
    </cfRule>
    <cfRule type="expression" dxfId="126" priority="83" stopIfTrue="1">
      <formula>$A133="enumerator"</formula>
    </cfRule>
    <cfRule type="expression" dxfId="125" priority="84" stopIfTrue="1">
      <formula>$A133="enumerator"</formula>
    </cfRule>
    <cfRule type="expression" dxfId="124" priority="91" stopIfTrue="1">
      <formula>$A133="image"</formula>
    </cfRule>
    <cfRule type="expression" dxfId="123" priority="86" stopIfTrue="1">
      <formula>OR(AND(LEFT($A133, 14)="sensor_stream ", LEN($A133)&gt;14, NOT(ISNUMBER(SEARCH(" ", $A133, 15)))), AND(LEFT($A133, 17)="sensor_statistic ", LEN($A133)&gt;17, NOT(ISNUMBER(SEARCH(" ", $A133, 18)))))</formula>
    </cfRule>
    <cfRule type="expression" dxfId="122" priority="87" stopIfTrue="1">
      <formula>$A133="comments"</formula>
    </cfRule>
    <cfRule type="expression" dxfId="121" priority="88" stopIfTrue="1">
      <formula>$A133="comments"</formula>
    </cfRule>
    <cfRule type="expression" dxfId="120" priority="89" stopIfTrue="1">
      <formula>OR($A133="audio", $A133="video")</formula>
    </cfRule>
    <cfRule type="expression" dxfId="119" priority="90" stopIfTrue="1">
      <formula>OR($A133="audio", $A133="video")</formula>
    </cfRule>
    <cfRule type="expression" dxfId="118" priority="119" stopIfTrue="1">
      <formula>$A133="begin group"</formula>
    </cfRule>
    <cfRule type="expression" dxfId="117" priority="92" stopIfTrue="1">
      <formula>$A133="image"</formula>
    </cfRule>
    <cfRule type="expression" dxfId="116" priority="93" stopIfTrue="1">
      <formula>OR($A133="date", $A133="datetime", $A133="time")</formula>
    </cfRule>
    <cfRule type="expression" dxfId="115" priority="94" stopIfTrue="1">
      <formula>OR($A133="date", $A133="datetime", $A133="time")</formula>
    </cfRule>
    <cfRule type="expression" dxfId="114" priority="95" stopIfTrue="1">
      <formula>OR($A133="calculate", $A133="calculate_here")</formula>
    </cfRule>
    <cfRule type="expression" dxfId="113" priority="96" stopIfTrue="1">
      <formula>OR($A133="calculate", $A133="calculate_here")</formula>
    </cfRule>
    <cfRule type="expression" dxfId="112" priority="97" stopIfTrue="1">
      <formula>$A133="note"</formula>
    </cfRule>
    <cfRule type="expression" dxfId="111" priority="98" stopIfTrue="1">
      <formula>$A133="note"</formula>
    </cfRule>
    <cfRule type="expression" dxfId="110" priority="99" stopIfTrue="1">
      <formula>$A133="barcode"</formula>
    </cfRule>
    <cfRule type="expression" dxfId="109" priority="100" stopIfTrue="1">
      <formula>$A133="barcode"</formula>
    </cfRule>
    <cfRule type="expression" dxfId="108" priority="101" stopIfTrue="1">
      <formula>OR($A133="geopoint", $A133="geoshape", $A133="geotrace")</formula>
    </cfRule>
    <cfRule type="expression" dxfId="107" priority="102" stopIfTrue="1">
      <formula>OR($A133="geopoint", $A133="geoshape", $A133="geotrace")</formula>
    </cfRule>
    <cfRule type="expression" dxfId="106" priority="103" stopIfTrue="1">
      <formula>OR($A133="audio audit", $A133="text audit", $A133="speed violations count", $A133="speed violations list", $A133="speed violations audit")</formula>
    </cfRule>
    <cfRule type="expression" dxfId="105" priority="104" stopIfTrue="1">
      <formula>OR($A133="audio audit", $A133="text audit", $A133="speed violations count", $A133="speed violations list", $A133="speed violations audit")</formula>
    </cfRule>
    <cfRule type="expression" dxfId="104" priority="105" stopIfTrue="1">
      <formula>OR($A133="username", $A133="phonenumber", $A133="start", $A133="end", $A133="deviceid", $A133="subscriberid", $A133="simserial", $A133="caseid")</formula>
    </cfRule>
    <cfRule type="expression" dxfId="103" priority="106" stopIfTrue="1">
      <formula>OR(AND(LEFT($A133, 16)="select_multiple ", LEN($A133)&gt;16, NOT(ISNUMBER(SEARCH(" ", $A133, 17)))), AND(LEFT($A133, 11)="select_one ", LEN($A133)&gt;11, NOT(ISNUMBER(SEARCH(" ", $A133, 12)))))</formula>
    </cfRule>
    <cfRule type="expression" dxfId="102" priority="107" stopIfTrue="1">
      <formula>OR(AND(LEFT($A133, 16)="select_multiple ", LEN($A133)&gt;16, NOT(ISNUMBER(SEARCH(" ", $A133, 17)))), AND(LEFT($A133, 11)="select_one ", LEN($A133)&gt;11, NOT(ISNUMBER(SEARCH(" ", $A133, 12)))))</formula>
    </cfRule>
    <cfRule type="expression" dxfId="101" priority="108" stopIfTrue="1">
      <formula>$A133="decimal"</formula>
    </cfRule>
    <cfRule type="expression" dxfId="100" priority="109" stopIfTrue="1">
      <formula>$A133="decimal"</formula>
    </cfRule>
    <cfRule type="expression" dxfId="99" priority="110" stopIfTrue="1">
      <formula>$A133="integer"</formula>
    </cfRule>
    <cfRule type="expression" dxfId="98" priority="111" stopIfTrue="1">
      <formula>$A133="integer"</formula>
    </cfRule>
    <cfRule type="expression" dxfId="97" priority="112" stopIfTrue="1">
      <formula>$A133="text"</formula>
    </cfRule>
    <cfRule type="expression" dxfId="96" priority="113" stopIfTrue="1">
      <formula>$A133="text"</formula>
    </cfRule>
    <cfRule type="expression" dxfId="95" priority="114" stopIfTrue="1">
      <formula>$A133="end repeat"</formula>
    </cfRule>
    <cfRule type="expression" dxfId="94" priority="115" stopIfTrue="1">
      <formula>$A133="begin repeat"</formula>
    </cfRule>
    <cfRule type="expression" dxfId="93" priority="116" stopIfTrue="1">
      <formula>$A133="begin repeat"</formula>
    </cfRule>
    <cfRule type="expression" dxfId="92" priority="117" stopIfTrue="1">
      <formula>$A133="end group"</formula>
    </cfRule>
  </conditionalFormatting>
  <conditionalFormatting sqref="A300 D300:H300">
    <cfRule type="expression" dxfId="91" priority="6747">
      <formula>NOT($A300=$A284)</formula>
    </cfRule>
  </conditionalFormatting>
  <conditionalFormatting sqref="A9:C9 A55:B55 D55:H55 A61:B61 D61:H61 A65:H65 A69:H69 A73:B73 D73:H73 A79:B79 D79:H79 A86:B86 D86:H86 A90:B90 D90:H90 A95:B95 D95:H95 A99:B99 D99:H99 A106:B106 D106:H106 A115:B115 D115:H115 A118:B118 D118:H118 A122:B122 D122:H122 A127:B127 D127:H127 B133 D133:H133 A137:B137 D137:H137 A141:B141 D141:H141 A148:B148 D148:H148 A153:B153 D153:H153 A157:B157 D157:H157 A161:B161 D161:H161 A166:B166 D166:H166 A170:B170 D170:H170 A175:B175 D175:H175 A183:B183 D183:H183 A189:B189 D189:H189 A202:B202 D202:H202 A217:B217 D217:H217 A228:B228 D228:H228 A232:B232 D232:H232 A239:H239 A243:B243 D243:H243 A248:B248 D248:H248 A256:B256 D256:H256 A263:B263 D263:H263 A270:B270 D270:H270 A274:B274 D274:H274 A281:B281 D281:H281 D298:H298 A307:B307 D307:H307 A317:B317 D317:H317 A323:B323 D323:H323 A329:B329 D329:H329 A333:B333 D333:H333 A338:B338 D338:H338 A344:H344 A354:H354 A358:H358 A364:H364 A370:H370 A373:H373 A383:H383 A387:H387">
    <cfRule type="expression" dxfId="90" priority="2">
      <formula>NOT($A9=$A7)</formula>
    </cfRule>
  </conditionalFormatting>
  <conditionalFormatting sqref="A2:H8 D9:H9 A11:H15 A16:B16 D16:H16 A18:H21 A23:H29 A31:H32 A34:H36 A38:H41 A43:H49 A51:B52 D51:H52 A53:H54 A56:B60 D56:H60 A62:B64 D62:H64 A66:H68 A70:H72 A74:B78 D74:H78 A80:B85 D80:H85 A87:B89 D87:H89 A91:B94 D91:H94 A96:B98 D96:H98 A100:B105 D100:H105 A107:B114 D107:H114 A116:B117 D116:H117 A119:B121 D119:H121 A123:B126 D123:H126 A128:B132 D128:H132 B134:B136 D134:H136 A138:B140 D138:H140 A142:B147 D142:H147 A149:B152 D149:H152 A154:B156 D154:H156 A158:B160 D158:H160 A162:B165 D162:H165 A167:B169 D167:H169 A171:B174 D171:H174 A176:B182 D176:H182 B184:B186 D184:H186 A184:A188 B187:H188 A190:B201 D190:H201 A203:B206 D203:H206 D208:H216 A218:B227 D218:H227 A229:B231 D229:H231 A233:B238 D233:H238 A240:H242 A244:B247 D244:H247 A249:B255 D249:H255 A257:B262 D257:H262 A264:B269 D264:H269 A271:B273 D271:H273 A275:B280 D275:H280 A282:B284 D282:H286 A285:A299 B285:B300 D288:H288 D290:H292 D294:H297 A301:B306 D301:H306 A308:B316 D308:H316 A318:B322 D318:H322 A324:B328 D324:H328 A330:B332 D330:H332 A334:B337 D334:H337 A339:B340 D339:H340 A341:H343 A345:H353 A355:H357 A359:H363 A365:H369 A371:H372 A374:H382 A384:H386 A388:H407 A409:H2075">
    <cfRule type="expression" dxfId="89" priority="120">
      <formula>NOT($A2=$A1)</formula>
    </cfRule>
  </conditionalFormatting>
  <conditionalFormatting sqref="A10:H10 A17:H17 A22:H22 A30:H30 A33:H33 A37:H37 A42:H42 A50:B50 D50:H50">
    <cfRule type="expression" dxfId="88" priority="1726">
      <formula>NOT($A10=$A8)</formula>
    </cfRule>
  </conditionalFormatting>
  <conditionalFormatting sqref="A408:H408">
    <cfRule type="expression" dxfId="87" priority="5597">
      <formula>NOT($A408=#REF!)</formula>
    </cfRule>
  </conditionalFormatting>
  <conditionalFormatting sqref="C16">
    <cfRule type="expression" dxfId="86" priority="1">
      <formula>NOT($A16=$A14)</formula>
    </cfRule>
  </conditionalFormatting>
  <conditionalFormatting sqref="D207:H207 A207:B216">
    <cfRule type="expression" dxfId="85" priority="122">
      <formula>NOT($A207=#REF!)</formula>
    </cfRule>
  </conditionalFormatting>
  <conditionalFormatting sqref="D287:H287 D293:H293 D299:H299">
    <cfRule type="expression" dxfId="84" priority="6751">
      <formula>NOT($A287=$A284)</formula>
    </cfRule>
  </conditionalFormatting>
  <conditionalFormatting sqref="D289:H289">
    <cfRule type="expression" dxfId="83" priority="6749">
      <formula>NOT($A289=$A284)</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heetViews>
  <sheetFormatPr defaultColWidth="8.83203125" defaultRowHeight="15.5"/>
  <cols>
    <col min="1" max="1" width="24" bestFit="1" customWidth="1" collapsed="1"/>
    <col min="2" max="2" width="13.33203125" bestFit="1" customWidth="1" collapsed="1"/>
    <col min="3" max="3" width="13.33203125" customWidth="1" collapsed="1"/>
    <col min="4" max="4" width="27" customWidth="1" collapsed="1"/>
    <col min="5" max="5" width="33" bestFit="1" customWidth="1" collapsed="1"/>
    <col min="6" max="6" width="15.6640625" bestFit="1" customWidth="1" collapsed="1"/>
  </cols>
  <sheetData>
    <row r="1" spans="1:8" s="3" customFormat="1" ht="18" customHeight="1">
      <c r="A1" s="11" t="s">
        <v>11</v>
      </c>
      <c r="B1" s="11" t="s">
        <v>12</v>
      </c>
      <c r="C1" s="12" t="s">
        <v>15</v>
      </c>
      <c r="D1" s="11" t="s">
        <v>13</v>
      </c>
      <c r="E1" s="11" t="s">
        <v>14</v>
      </c>
      <c r="F1" s="13" t="s">
        <v>19</v>
      </c>
      <c r="H1" s="4"/>
    </row>
    <row r="2" spans="1:8">
      <c r="A2" s="15" t="s">
        <v>355</v>
      </c>
      <c r="B2" s="15" t="s">
        <v>356</v>
      </c>
      <c r="C2" s="15" t="str">
        <f ca="1">TEXT(YEAR(NOW())-2000, "00") &amp; TEXT(MONTH(NOW()), "00") &amp; TEXT(DAY(NOW()), "00") &amp; TEXT(HOUR(NOW()), "00") &amp; TEXT(MINUTE(NOW()), "00")</f>
        <v>2601131731</v>
      </c>
      <c r="D2" s="16" t="s">
        <v>357</v>
      </c>
      <c r="E2" s="17" t="s">
        <v>357</v>
      </c>
      <c r="F2" s="15" t="s">
        <v>20</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defaultColWidth="10.6640625" defaultRowHeight="15.5"/>
  <cols>
    <col min="1" max="2" width="36" customWidth="1" collapsed="1"/>
    <col min="3" max="3" width="36" style="19" customWidth="1" collapsed="1"/>
    <col min="4" max="30" width="36" customWidth="1" collapsed="1"/>
  </cols>
  <sheetData>
    <row r="1" spans="1:30" ht="17" customHeight="1">
      <c r="A1" s="92" t="s">
        <v>40</v>
      </c>
      <c r="B1" s="93"/>
    </row>
    <row r="2" spans="1:30">
      <c r="A2" s="94"/>
      <c r="B2" s="95"/>
    </row>
    <row r="3" spans="1:30" ht="58" customHeight="1">
      <c r="A3" s="96" t="s">
        <v>292</v>
      </c>
      <c r="B3" s="97"/>
    </row>
    <row r="4" spans="1:30" ht="16" customHeight="1">
      <c r="A4" s="100" t="s">
        <v>318</v>
      </c>
      <c r="B4" s="101"/>
    </row>
    <row r="6" spans="1:30" s="3" customFormat="1" ht="18" customHeight="1">
      <c r="A6" s="52" t="s">
        <v>0</v>
      </c>
      <c r="B6" s="52" t="s">
        <v>1</v>
      </c>
      <c r="C6" s="53" t="s">
        <v>16</v>
      </c>
      <c r="D6" s="53" t="s">
        <v>44</v>
      </c>
      <c r="E6" s="52" t="s">
        <v>3</v>
      </c>
      <c r="F6" s="52" t="s">
        <v>48</v>
      </c>
      <c r="G6" s="52" t="s">
        <v>2</v>
      </c>
      <c r="H6" s="54" t="s">
        <v>4</v>
      </c>
      <c r="I6" s="52" t="s">
        <v>245</v>
      </c>
      <c r="J6" s="53" t="s">
        <v>32</v>
      </c>
      <c r="K6" s="53" t="s">
        <v>49</v>
      </c>
      <c r="L6" s="52" t="s">
        <v>246</v>
      </c>
      <c r="M6" s="52" t="s">
        <v>247</v>
      </c>
      <c r="N6" s="52" t="s">
        <v>5</v>
      </c>
      <c r="O6" s="52" t="s">
        <v>31</v>
      </c>
      <c r="P6" s="52" t="s">
        <v>50</v>
      </c>
      <c r="Q6" s="52" t="s">
        <v>6</v>
      </c>
      <c r="R6" s="52" t="s">
        <v>248</v>
      </c>
      <c r="S6" s="52" t="s">
        <v>30</v>
      </c>
      <c r="T6" s="52" t="s">
        <v>249</v>
      </c>
      <c r="U6" s="52" t="s">
        <v>7</v>
      </c>
      <c r="V6" s="52" t="s">
        <v>250</v>
      </c>
      <c r="W6" s="52" t="s">
        <v>51</v>
      </c>
      <c r="X6" s="52" t="s">
        <v>52</v>
      </c>
      <c r="Y6" s="52" t="s">
        <v>53</v>
      </c>
      <c r="Z6" s="52" t="s">
        <v>36</v>
      </c>
      <c r="AA6" s="52" t="s">
        <v>33</v>
      </c>
      <c r="AB6" s="52" t="s">
        <v>34</v>
      </c>
      <c r="AC6" s="52" t="s">
        <v>233</v>
      </c>
      <c r="AD6" s="52" t="s">
        <v>234</v>
      </c>
    </row>
    <row r="7" spans="1:30" s="51" customFormat="1" ht="248">
      <c r="A7" s="50" t="s">
        <v>341</v>
      </c>
      <c r="B7" s="50" t="s">
        <v>343</v>
      </c>
      <c r="C7" s="50" t="s">
        <v>54</v>
      </c>
      <c r="D7" s="50" t="s">
        <v>320</v>
      </c>
      <c r="E7" s="50" t="s">
        <v>55</v>
      </c>
      <c r="F7" s="50" t="s">
        <v>328</v>
      </c>
      <c r="G7" s="55" t="s">
        <v>327</v>
      </c>
      <c r="H7" s="50" t="s">
        <v>342</v>
      </c>
      <c r="I7" s="50" t="s">
        <v>307</v>
      </c>
      <c r="J7" s="50" t="s">
        <v>326</v>
      </c>
      <c r="K7" s="50" t="s">
        <v>57</v>
      </c>
      <c r="L7" s="50" t="s">
        <v>309</v>
      </c>
      <c r="M7" s="50" t="s">
        <v>323</v>
      </c>
      <c r="N7" s="50" t="s">
        <v>324</v>
      </c>
      <c r="O7" s="50" t="s">
        <v>325</v>
      </c>
      <c r="P7" s="50" t="s">
        <v>58</v>
      </c>
      <c r="Q7" s="50" t="s">
        <v>56</v>
      </c>
      <c r="R7" s="50" t="s">
        <v>340</v>
      </c>
      <c r="S7" s="50" t="s">
        <v>339</v>
      </c>
      <c r="T7" s="50" t="s">
        <v>329</v>
      </c>
      <c r="U7" s="50" t="s">
        <v>331</v>
      </c>
      <c r="V7" s="50" t="s">
        <v>330</v>
      </c>
      <c r="W7" s="50" t="s">
        <v>332</v>
      </c>
      <c r="X7" s="50" t="s">
        <v>333</v>
      </c>
      <c r="Y7" s="50" t="s">
        <v>334</v>
      </c>
      <c r="Z7" s="45" t="s">
        <v>335</v>
      </c>
      <c r="AA7" s="50" t="s">
        <v>59</v>
      </c>
      <c r="AB7" s="50" t="s">
        <v>60</v>
      </c>
      <c r="AC7" s="50" t="s">
        <v>310</v>
      </c>
      <c r="AD7" s="50" t="s">
        <v>337</v>
      </c>
    </row>
    <row r="8" spans="1:30" s="51" customFormat="1" ht="31">
      <c r="A8" s="68"/>
      <c r="B8" s="68"/>
      <c r="C8" s="68"/>
      <c r="D8" s="63" t="s">
        <v>300</v>
      </c>
      <c r="E8" s="68"/>
      <c r="F8" s="63" t="s">
        <v>300</v>
      </c>
      <c r="G8" s="69" t="s">
        <v>304</v>
      </c>
      <c r="H8" s="68"/>
      <c r="I8" s="69" t="s">
        <v>306</v>
      </c>
      <c r="J8" s="69" t="s">
        <v>306</v>
      </c>
      <c r="K8" s="68"/>
      <c r="L8" s="69" t="s">
        <v>308</v>
      </c>
      <c r="M8" s="69" t="s">
        <v>322</v>
      </c>
      <c r="N8" s="69" t="s">
        <v>322</v>
      </c>
      <c r="O8" s="69" t="s">
        <v>322</v>
      </c>
      <c r="P8" s="68"/>
      <c r="Q8" s="69" t="s">
        <v>322</v>
      </c>
      <c r="R8" s="69" t="s">
        <v>344</v>
      </c>
      <c r="S8" s="69" t="s">
        <v>338</v>
      </c>
      <c r="T8" s="64" t="s">
        <v>319</v>
      </c>
      <c r="U8" s="64" t="s">
        <v>322</v>
      </c>
      <c r="V8" s="64" t="s">
        <v>322</v>
      </c>
      <c r="W8" s="63" t="s">
        <v>300</v>
      </c>
      <c r="X8" s="63" t="s">
        <v>300</v>
      </c>
      <c r="Y8" s="63" t="s">
        <v>300</v>
      </c>
      <c r="Z8" s="69" t="s">
        <v>305</v>
      </c>
      <c r="AA8" s="69" t="s">
        <v>345</v>
      </c>
      <c r="AB8" s="69" t="s">
        <v>345</v>
      </c>
      <c r="AC8" s="61" t="s">
        <v>299</v>
      </c>
      <c r="AD8" s="69" t="s">
        <v>336</v>
      </c>
    </row>
    <row r="10" spans="1:30" s="30" customFormat="1">
      <c r="A10" s="98" t="s">
        <v>217</v>
      </c>
      <c r="B10" s="98"/>
      <c r="C10" s="28"/>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row>
    <row r="12" spans="1:30" s="30" customFormat="1" ht="46.5">
      <c r="A12" s="57" t="s">
        <v>274</v>
      </c>
      <c r="B12" s="31" t="s">
        <v>63</v>
      </c>
      <c r="C12" s="32" t="s">
        <v>280</v>
      </c>
      <c r="D12" s="31"/>
      <c r="E12" s="31"/>
      <c r="F12" s="31"/>
      <c r="G12" s="31"/>
      <c r="H12" s="31" t="s">
        <v>275</v>
      </c>
      <c r="I12" s="31"/>
      <c r="J12" s="31"/>
      <c r="K12" s="31"/>
      <c r="L12" s="31"/>
      <c r="M12" s="31"/>
      <c r="N12" s="31"/>
      <c r="O12" s="31"/>
      <c r="P12" s="31"/>
      <c r="Q12" s="31"/>
      <c r="R12" s="31"/>
      <c r="S12" s="31"/>
      <c r="T12" s="31"/>
      <c r="U12" s="31"/>
      <c r="V12" s="31"/>
      <c r="W12" s="31"/>
      <c r="X12" s="31"/>
      <c r="Y12" s="31"/>
      <c r="Z12" s="31"/>
      <c r="AA12" s="31"/>
      <c r="AB12" s="31"/>
      <c r="AC12" s="31"/>
      <c r="AD12" s="31"/>
    </row>
    <row r="13" spans="1:30" s="30" customFormat="1" ht="46.5">
      <c r="A13" s="57" t="s">
        <v>274</v>
      </c>
      <c r="B13" s="31" t="s">
        <v>63</v>
      </c>
      <c r="C13" s="32" t="s">
        <v>279</v>
      </c>
      <c r="D13" s="31"/>
      <c r="E13" s="31"/>
      <c r="F13" s="31"/>
      <c r="G13" s="31"/>
      <c r="H13" s="32" t="s">
        <v>277</v>
      </c>
      <c r="I13" s="31"/>
      <c r="J13" s="31"/>
      <c r="K13" s="31"/>
      <c r="L13" s="31"/>
      <c r="M13" s="31"/>
      <c r="N13" s="31"/>
      <c r="O13" s="31"/>
      <c r="P13" s="31"/>
      <c r="Q13" s="31"/>
      <c r="R13" s="31"/>
      <c r="S13" s="31"/>
      <c r="T13" s="31"/>
      <c r="U13" s="31"/>
      <c r="V13" s="31"/>
      <c r="W13" s="31"/>
      <c r="X13" s="31"/>
      <c r="Y13" s="31"/>
      <c r="Z13" s="31"/>
      <c r="AA13" s="31"/>
      <c r="AB13" s="31"/>
      <c r="AC13" s="31"/>
      <c r="AD13" s="31"/>
    </row>
    <row r="14" spans="1:30" s="30" customFormat="1">
      <c r="A14" s="57" t="s">
        <v>274</v>
      </c>
      <c r="B14" s="31" t="s">
        <v>63</v>
      </c>
      <c r="C14" s="32" t="s">
        <v>281</v>
      </c>
      <c r="D14" s="31"/>
      <c r="E14" s="31"/>
      <c r="F14" s="31"/>
      <c r="G14" s="31"/>
      <c r="H14" s="31" t="s">
        <v>278</v>
      </c>
      <c r="I14" s="31"/>
      <c r="J14" s="31"/>
      <c r="K14" s="31"/>
      <c r="L14" s="31"/>
      <c r="M14" s="31"/>
      <c r="N14" s="31"/>
      <c r="O14" s="31"/>
      <c r="P14" s="31"/>
      <c r="Q14" s="31"/>
      <c r="R14" s="31"/>
      <c r="S14" s="31"/>
      <c r="T14" s="31"/>
      <c r="U14" s="31"/>
      <c r="V14" s="31"/>
      <c r="W14" s="31"/>
      <c r="X14" s="31"/>
      <c r="Y14" s="31"/>
      <c r="Z14" s="31"/>
      <c r="AA14" s="31"/>
      <c r="AB14" s="31"/>
      <c r="AC14" s="31"/>
      <c r="AD14" s="31"/>
    </row>
    <row r="15" spans="1:30" s="30" customFormat="1">
      <c r="A15" s="57" t="s">
        <v>274</v>
      </c>
      <c r="B15" s="31" t="s">
        <v>63</v>
      </c>
      <c r="C15" s="32" t="s">
        <v>281</v>
      </c>
      <c r="D15" s="31"/>
      <c r="E15" s="31"/>
      <c r="F15" s="31"/>
      <c r="G15" s="31"/>
      <c r="H15" s="31" t="s">
        <v>276</v>
      </c>
      <c r="I15" s="31"/>
      <c r="J15" s="31"/>
      <c r="K15" s="31"/>
      <c r="L15" s="31"/>
      <c r="M15" s="31"/>
      <c r="N15" s="31"/>
      <c r="O15" s="31"/>
      <c r="P15" s="31"/>
      <c r="Q15" s="31"/>
      <c r="R15" s="31"/>
      <c r="S15" s="31"/>
      <c r="T15" s="31"/>
      <c r="U15" s="31"/>
      <c r="V15" s="31"/>
      <c r="W15" s="31"/>
      <c r="X15" s="31"/>
      <c r="Y15" s="31"/>
      <c r="Z15" s="31"/>
      <c r="AA15" s="31"/>
      <c r="AB15" s="31"/>
      <c r="AC15" s="31"/>
      <c r="AD15" s="31"/>
    </row>
    <row r="16" spans="1:30" s="30" customFormat="1">
      <c r="A16" s="57" t="s">
        <v>61</v>
      </c>
      <c r="B16" s="31" t="s">
        <v>63</v>
      </c>
      <c r="C16" s="32" t="s">
        <v>64</v>
      </c>
      <c r="D16" s="57"/>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row>
    <row r="17" spans="1:30" s="30" customFormat="1">
      <c r="A17" s="57" t="s">
        <v>61</v>
      </c>
      <c r="B17" s="31" t="s">
        <v>63</v>
      </c>
      <c r="C17" s="32" t="s">
        <v>87</v>
      </c>
      <c r="D17" s="31"/>
      <c r="E17" s="31"/>
      <c r="F17" s="31"/>
      <c r="G17" s="31"/>
      <c r="H17" s="31" t="s">
        <v>62</v>
      </c>
      <c r="I17" s="31"/>
      <c r="J17" s="31"/>
      <c r="K17" s="31"/>
      <c r="L17" s="31"/>
      <c r="M17" s="31"/>
      <c r="N17" s="31"/>
      <c r="O17" s="31"/>
      <c r="P17" s="31"/>
      <c r="Q17" s="31"/>
      <c r="R17" s="31"/>
      <c r="S17" s="31"/>
      <c r="T17" s="31"/>
      <c r="U17" s="31"/>
      <c r="V17" s="31"/>
      <c r="W17" s="31"/>
      <c r="X17" s="31"/>
      <c r="Y17" s="31"/>
      <c r="Z17" s="31"/>
      <c r="AA17" s="31"/>
      <c r="AB17" s="31"/>
      <c r="AC17" s="31"/>
      <c r="AD17" s="31"/>
    </row>
    <row r="18" spans="1:30" s="30" customFormat="1">
      <c r="A18" s="57" t="s">
        <v>65</v>
      </c>
      <c r="B18" s="31" t="s">
        <v>63</v>
      </c>
      <c r="C18" s="32" t="s">
        <v>74</v>
      </c>
      <c r="D18" s="57"/>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row>
    <row r="19" spans="1:30" s="30" customFormat="1">
      <c r="A19" s="57" t="s">
        <v>66</v>
      </c>
      <c r="B19" s="31" t="s">
        <v>63</v>
      </c>
      <c r="C19" s="32" t="s">
        <v>75</v>
      </c>
      <c r="D19" s="57"/>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row>
    <row r="20" spans="1:30" s="30" customFormat="1" ht="46.5">
      <c r="A20" s="57" t="s">
        <v>67</v>
      </c>
      <c r="B20" s="31" t="s">
        <v>63</v>
      </c>
      <c r="C20" s="32" t="s">
        <v>76</v>
      </c>
      <c r="D20" s="57"/>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row>
    <row r="21" spans="1:30" s="30" customFormat="1" ht="46.5">
      <c r="A21" s="57" t="s">
        <v>67</v>
      </c>
      <c r="B21" s="31" t="s">
        <v>63</v>
      </c>
      <c r="C21" s="32" t="s">
        <v>269</v>
      </c>
      <c r="D21" s="31"/>
      <c r="E21" s="31"/>
      <c r="F21" s="31"/>
      <c r="G21" s="31"/>
      <c r="H21" s="31" t="s">
        <v>266</v>
      </c>
      <c r="I21" s="31"/>
      <c r="J21" s="31"/>
      <c r="K21" s="31"/>
      <c r="L21" s="31"/>
      <c r="M21" s="31"/>
      <c r="N21" s="31"/>
      <c r="O21" s="31"/>
      <c r="P21" s="31"/>
      <c r="Q21" s="31"/>
      <c r="R21" s="31"/>
      <c r="S21" s="31"/>
      <c r="T21" s="31"/>
      <c r="U21" s="31"/>
      <c r="V21" s="31"/>
      <c r="W21" s="31"/>
      <c r="X21" s="31"/>
      <c r="Y21" s="31"/>
      <c r="Z21" s="31"/>
      <c r="AA21" s="31"/>
      <c r="AB21" s="31"/>
      <c r="AC21" s="31"/>
      <c r="AD21" s="31"/>
    </row>
    <row r="22" spans="1:30" s="30" customFormat="1" ht="62">
      <c r="A22" s="57" t="s">
        <v>67</v>
      </c>
      <c r="B22" s="31" t="s">
        <v>63</v>
      </c>
      <c r="C22" s="32" t="s">
        <v>270</v>
      </c>
      <c r="D22" s="31"/>
      <c r="E22" s="31"/>
      <c r="F22" s="31"/>
      <c r="G22" s="31"/>
      <c r="H22" s="31" t="s">
        <v>267</v>
      </c>
      <c r="I22" s="31"/>
      <c r="J22" s="31"/>
      <c r="K22" s="31"/>
      <c r="L22" s="31"/>
      <c r="M22" s="31"/>
      <c r="N22" s="31"/>
      <c r="O22" s="31"/>
      <c r="P22" s="31"/>
      <c r="Q22" s="31"/>
      <c r="R22" s="31"/>
      <c r="S22" s="31"/>
      <c r="T22" s="31"/>
      <c r="U22" s="31"/>
      <c r="V22" s="31"/>
      <c r="W22" s="31"/>
      <c r="X22" s="31"/>
      <c r="Y22" s="31"/>
      <c r="Z22" s="31"/>
      <c r="AA22" s="31"/>
      <c r="AB22" s="31"/>
      <c r="AC22" s="31"/>
      <c r="AD22" s="31"/>
    </row>
    <row r="23" spans="1:30" s="30" customFormat="1" ht="62">
      <c r="A23" s="57" t="s">
        <v>67</v>
      </c>
      <c r="B23" s="31" t="s">
        <v>63</v>
      </c>
      <c r="C23" s="32" t="s">
        <v>271</v>
      </c>
      <c r="D23" s="31"/>
      <c r="E23" s="31"/>
      <c r="F23" s="31"/>
      <c r="G23" s="31"/>
      <c r="H23" s="31" t="s">
        <v>268</v>
      </c>
      <c r="I23" s="31"/>
      <c r="J23" s="31"/>
      <c r="K23" s="31"/>
      <c r="L23" s="31"/>
      <c r="M23" s="31"/>
      <c r="N23" s="31"/>
      <c r="O23" s="31"/>
      <c r="P23" s="31"/>
      <c r="Q23" s="31"/>
      <c r="R23" s="31"/>
      <c r="S23" s="31"/>
      <c r="T23" s="31"/>
      <c r="U23" s="31"/>
      <c r="V23" s="31"/>
      <c r="W23" s="31"/>
      <c r="X23" s="31"/>
      <c r="Y23" s="31"/>
      <c r="Z23" s="31"/>
      <c r="AA23" s="31"/>
      <c r="AB23" s="31"/>
      <c r="AC23" s="31"/>
      <c r="AD23" s="31"/>
    </row>
    <row r="24" spans="1:30" s="30" customFormat="1" ht="46.5">
      <c r="A24" s="57" t="s">
        <v>67</v>
      </c>
      <c r="B24" s="31" t="s">
        <v>63</v>
      </c>
      <c r="C24" s="32" t="s">
        <v>88</v>
      </c>
      <c r="D24" s="31"/>
      <c r="E24" s="31"/>
      <c r="F24" s="31"/>
      <c r="G24" s="31"/>
      <c r="H24" s="31" t="s">
        <v>68</v>
      </c>
      <c r="I24" s="31"/>
      <c r="J24" s="31"/>
      <c r="K24" s="31"/>
      <c r="L24" s="31"/>
      <c r="M24" s="31"/>
      <c r="N24" s="31"/>
      <c r="O24" s="31"/>
      <c r="P24" s="31"/>
      <c r="Q24" s="31"/>
      <c r="R24" s="31"/>
      <c r="S24" s="31"/>
      <c r="T24" s="31"/>
      <c r="U24" s="31"/>
      <c r="V24" s="31"/>
      <c r="W24" s="31"/>
      <c r="X24" s="31"/>
      <c r="Y24" s="31"/>
      <c r="Z24" s="31"/>
      <c r="AA24" s="31"/>
      <c r="AB24" s="31"/>
      <c r="AC24" s="31"/>
      <c r="AD24" s="31"/>
    </row>
    <row r="25" spans="1:30" s="30" customFormat="1" ht="46.5">
      <c r="A25" s="57" t="s">
        <v>67</v>
      </c>
      <c r="B25" s="31" t="s">
        <v>63</v>
      </c>
      <c r="C25" s="32" t="s">
        <v>89</v>
      </c>
      <c r="D25" s="31"/>
      <c r="E25" s="31"/>
      <c r="F25" s="31"/>
      <c r="G25" s="31"/>
      <c r="H25" s="31" t="s">
        <v>69</v>
      </c>
      <c r="I25" s="31"/>
      <c r="J25" s="31"/>
      <c r="K25" s="31"/>
      <c r="L25" s="31"/>
      <c r="M25" s="31"/>
      <c r="N25" s="31"/>
      <c r="O25" s="31"/>
      <c r="P25" s="31"/>
      <c r="Q25" s="31"/>
      <c r="R25" s="31"/>
      <c r="S25" s="31"/>
      <c r="T25" s="31"/>
      <c r="U25" s="31"/>
      <c r="V25" s="31"/>
      <c r="W25" s="31"/>
      <c r="X25" s="31"/>
      <c r="Y25" s="31"/>
      <c r="Z25" s="31"/>
      <c r="AA25" s="31"/>
      <c r="AB25" s="31"/>
      <c r="AC25" s="31"/>
      <c r="AD25" s="31"/>
    </row>
    <row r="26" spans="1:30" s="30" customFormat="1" ht="46.5">
      <c r="A26" s="57" t="s">
        <v>67</v>
      </c>
      <c r="B26" s="31" t="s">
        <v>63</v>
      </c>
      <c r="C26" s="32" t="s">
        <v>90</v>
      </c>
      <c r="D26" s="31"/>
      <c r="E26" s="31"/>
      <c r="F26" s="31"/>
      <c r="G26" s="31"/>
      <c r="H26" s="31" t="s">
        <v>70</v>
      </c>
      <c r="I26" s="31"/>
      <c r="J26" s="31"/>
      <c r="K26" s="31"/>
      <c r="L26" s="31"/>
      <c r="M26" s="31"/>
      <c r="N26" s="31"/>
      <c r="O26" s="31"/>
      <c r="P26" s="31"/>
      <c r="Q26" s="31"/>
      <c r="R26" s="31"/>
      <c r="S26" s="31"/>
      <c r="T26" s="31"/>
      <c r="U26" s="31"/>
      <c r="V26" s="31"/>
      <c r="W26" s="31"/>
      <c r="X26" s="31"/>
      <c r="Y26" s="31"/>
      <c r="Z26" s="31"/>
      <c r="AA26" s="31"/>
      <c r="AB26" s="31"/>
      <c r="AC26" s="31"/>
      <c r="AD26" s="31"/>
    </row>
    <row r="27" spans="1:30" s="30" customFormat="1" ht="46.5">
      <c r="A27" s="57" t="s">
        <v>67</v>
      </c>
      <c r="B27" s="31" t="s">
        <v>63</v>
      </c>
      <c r="C27" s="32" t="s">
        <v>91</v>
      </c>
      <c r="D27" s="31"/>
      <c r="E27" s="31"/>
      <c r="F27" s="31"/>
      <c r="G27" s="31"/>
      <c r="H27" s="31" t="s">
        <v>71</v>
      </c>
      <c r="I27" s="31"/>
      <c r="J27" s="31"/>
      <c r="K27" s="31"/>
      <c r="L27" s="31"/>
      <c r="M27" s="31"/>
      <c r="N27" s="31"/>
      <c r="O27" s="31"/>
      <c r="P27" s="31"/>
      <c r="Q27" s="31"/>
      <c r="R27" s="31"/>
      <c r="S27" s="31"/>
      <c r="T27" s="31"/>
      <c r="U27" s="31"/>
      <c r="V27" s="31"/>
      <c r="W27" s="31"/>
      <c r="X27" s="31"/>
      <c r="Y27" s="31"/>
      <c r="Z27" s="31"/>
      <c r="AA27" s="31"/>
      <c r="AB27" s="31"/>
      <c r="AC27" s="31"/>
      <c r="AD27" s="31"/>
    </row>
    <row r="28" spans="1:30" s="30" customFormat="1" ht="62">
      <c r="A28" s="57" t="s">
        <v>67</v>
      </c>
      <c r="B28" s="31" t="s">
        <v>63</v>
      </c>
      <c r="C28" s="32" t="s">
        <v>92</v>
      </c>
      <c r="D28" s="31"/>
      <c r="E28" s="31"/>
      <c r="F28" s="31"/>
      <c r="G28" s="31"/>
      <c r="H28" s="31" t="s">
        <v>72</v>
      </c>
      <c r="I28" s="31"/>
      <c r="J28" s="31"/>
      <c r="K28" s="31"/>
      <c r="L28" s="31"/>
      <c r="M28" s="31"/>
      <c r="N28" s="31"/>
      <c r="O28" s="31"/>
      <c r="P28" s="31"/>
      <c r="Q28" s="31"/>
      <c r="R28" s="31"/>
      <c r="S28" s="31"/>
      <c r="T28" s="31"/>
      <c r="U28" s="31"/>
      <c r="V28" s="31"/>
      <c r="W28" s="31"/>
      <c r="X28" s="31"/>
      <c r="Y28" s="31"/>
      <c r="Z28" s="31"/>
      <c r="AA28" s="31"/>
      <c r="AB28" s="31"/>
      <c r="AC28" s="31"/>
      <c r="AD28" s="31"/>
    </row>
    <row r="29" spans="1:30" s="30" customFormat="1" ht="77.5">
      <c r="A29" s="57" t="s">
        <v>67</v>
      </c>
      <c r="B29" s="31" t="s">
        <v>63</v>
      </c>
      <c r="C29" s="32" t="s">
        <v>93</v>
      </c>
      <c r="D29" s="31"/>
      <c r="E29" s="31"/>
      <c r="F29" s="31"/>
      <c r="G29" s="31"/>
      <c r="H29" s="31" t="s">
        <v>73</v>
      </c>
      <c r="I29" s="31"/>
      <c r="J29" s="31"/>
      <c r="K29" s="31"/>
      <c r="L29" s="31"/>
      <c r="M29" s="31"/>
      <c r="N29" s="31"/>
      <c r="O29" s="31"/>
      <c r="P29" s="31"/>
      <c r="Q29" s="31"/>
      <c r="R29" s="31"/>
      <c r="S29" s="31"/>
      <c r="T29" s="31"/>
      <c r="U29" s="31"/>
      <c r="V29" s="31"/>
      <c r="W29" s="31"/>
      <c r="X29" s="31"/>
      <c r="Y29" s="31"/>
      <c r="Z29" s="31"/>
      <c r="AA29" s="31"/>
      <c r="AB29" s="31"/>
      <c r="AC29" s="31"/>
      <c r="AD29" s="31"/>
    </row>
    <row r="30" spans="1:30" s="30" customFormat="1" ht="62">
      <c r="A30" s="57" t="s">
        <v>67</v>
      </c>
      <c r="B30" s="31" t="s">
        <v>63</v>
      </c>
      <c r="C30" s="32" t="s">
        <v>225</v>
      </c>
      <c r="D30" s="31"/>
      <c r="E30" s="31"/>
      <c r="F30" s="31"/>
      <c r="G30" s="31"/>
      <c r="H30" s="31" t="s">
        <v>218</v>
      </c>
      <c r="I30" s="31"/>
      <c r="J30" s="31"/>
      <c r="K30" s="31"/>
      <c r="L30" s="31"/>
      <c r="M30" s="31"/>
      <c r="N30" s="31"/>
      <c r="O30" s="31"/>
      <c r="P30" s="31"/>
      <c r="Q30" s="31"/>
      <c r="R30" s="31"/>
      <c r="S30" s="31"/>
      <c r="T30" s="31"/>
      <c r="U30" s="31"/>
      <c r="V30" s="31"/>
      <c r="W30" s="31"/>
      <c r="X30" s="31"/>
      <c r="Y30" s="31"/>
      <c r="Z30" s="31"/>
      <c r="AA30" s="31"/>
      <c r="AB30" s="31"/>
      <c r="AC30" s="31"/>
      <c r="AD30" s="31"/>
    </row>
    <row r="31" spans="1:30" s="30" customFormat="1" ht="62">
      <c r="A31" s="57" t="s">
        <v>67</v>
      </c>
      <c r="B31" s="31" t="s">
        <v>63</v>
      </c>
      <c r="C31" s="32" t="s">
        <v>224</v>
      </c>
      <c r="D31" s="31"/>
      <c r="E31" s="31"/>
      <c r="F31" s="31"/>
      <c r="G31" s="31"/>
      <c r="H31" s="31" t="s">
        <v>219</v>
      </c>
      <c r="I31" s="31"/>
      <c r="J31" s="31"/>
      <c r="K31" s="31"/>
      <c r="L31" s="31"/>
      <c r="M31" s="31"/>
      <c r="N31" s="31"/>
      <c r="O31" s="31"/>
      <c r="P31" s="31"/>
      <c r="Q31" s="31"/>
      <c r="R31" s="31"/>
      <c r="S31" s="31"/>
      <c r="T31" s="31"/>
      <c r="U31" s="31"/>
      <c r="V31" s="31"/>
      <c r="W31" s="31"/>
      <c r="X31" s="31"/>
      <c r="Y31" s="31"/>
      <c r="Z31" s="31"/>
      <c r="AA31" s="31"/>
      <c r="AB31" s="31"/>
      <c r="AC31" s="31"/>
      <c r="AD31" s="31"/>
    </row>
    <row r="32" spans="1:30" s="30" customFormat="1" ht="62">
      <c r="A32" s="57" t="s">
        <v>67</v>
      </c>
      <c r="B32" s="31" t="s">
        <v>63</v>
      </c>
      <c r="C32" s="36" t="s">
        <v>223</v>
      </c>
      <c r="D32" s="31"/>
      <c r="E32" s="31"/>
      <c r="F32" s="31"/>
      <c r="G32" s="31"/>
      <c r="H32" s="31" t="s">
        <v>220</v>
      </c>
      <c r="I32" s="31"/>
      <c r="J32" s="31"/>
      <c r="K32" s="31"/>
      <c r="L32" s="31"/>
      <c r="M32" s="31"/>
      <c r="N32" s="31"/>
      <c r="O32" s="31"/>
      <c r="P32" s="31"/>
      <c r="Q32" s="31"/>
      <c r="R32" s="31"/>
      <c r="S32" s="31"/>
      <c r="T32" s="31"/>
      <c r="U32" s="31"/>
      <c r="V32" s="31"/>
      <c r="W32" s="31"/>
      <c r="X32" s="31"/>
      <c r="Y32" s="31"/>
      <c r="Z32" s="31"/>
      <c r="AA32" s="31"/>
      <c r="AB32" s="31"/>
      <c r="AC32" s="31"/>
      <c r="AD32" s="31"/>
    </row>
    <row r="33" spans="1:30" s="30" customFormat="1" ht="62">
      <c r="A33" s="57" t="s">
        <v>67</v>
      </c>
      <c r="B33" s="31" t="s">
        <v>63</v>
      </c>
      <c r="C33" s="32" t="s">
        <v>222</v>
      </c>
      <c r="D33" s="31"/>
      <c r="E33" s="31"/>
      <c r="F33" s="31"/>
      <c r="G33" s="31"/>
      <c r="H33" s="31" t="s">
        <v>221</v>
      </c>
      <c r="I33" s="31"/>
      <c r="J33" s="31"/>
      <c r="K33" s="31"/>
      <c r="L33" s="31"/>
      <c r="M33" s="31"/>
      <c r="N33" s="31"/>
      <c r="O33" s="31"/>
      <c r="P33" s="31"/>
      <c r="Q33" s="31"/>
      <c r="R33" s="31"/>
      <c r="S33" s="31"/>
      <c r="T33" s="31"/>
      <c r="U33" s="31"/>
      <c r="V33" s="31"/>
      <c r="W33" s="31"/>
      <c r="X33" s="31"/>
      <c r="Y33" s="31"/>
      <c r="Z33" s="31"/>
      <c r="AA33" s="31"/>
      <c r="AB33" s="31"/>
      <c r="AC33" s="31"/>
      <c r="AD33" s="31"/>
    </row>
    <row r="34" spans="1:30" s="30" customFormat="1" ht="77.5">
      <c r="A34" s="57" t="s">
        <v>67</v>
      </c>
      <c r="B34" s="31" t="s">
        <v>63</v>
      </c>
      <c r="C34" s="32" t="s">
        <v>226</v>
      </c>
      <c r="D34" s="31"/>
      <c r="E34" s="31"/>
      <c r="F34" s="31"/>
      <c r="G34" s="31"/>
      <c r="H34" s="31" t="s">
        <v>227</v>
      </c>
      <c r="I34" s="31"/>
      <c r="J34" s="31"/>
      <c r="K34" s="31"/>
      <c r="L34" s="31"/>
      <c r="M34" s="31"/>
      <c r="N34" s="31"/>
      <c r="O34" s="31"/>
      <c r="P34" s="31"/>
      <c r="Q34" s="31"/>
      <c r="R34" s="31"/>
      <c r="S34" s="31"/>
      <c r="T34" s="31"/>
      <c r="U34" s="31"/>
      <c r="V34" s="31"/>
      <c r="W34" s="31"/>
      <c r="X34" s="31"/>
      <c r="Y34" s="31"/>
      <c r="Z34" s="31"/>
      <c r="AA34" s="31"/>
      <c r="AB34" s="31"/>
      <c r="AC34" s="31"/>
      <c r="AD34" s="31"/>
    </row>
    <row r="35" spans="1:30" s="30" customFormat="1" ht="46.5">
      <c r="A35" s="57" t="s">
        <v>77</v>
      </c>
      <c r="B35" s="31" t="s">
        <v>63</v>
      </c>
      <c r="C35" s="32" t="s">
        <v>78</v>
      </c>
      <c r="D35" s="57"/>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row>
    <row r="36" spans="1:30" s="30" customFormat="1" ht="31">
      <c r="A36" s="57" t="s">
        <v>77</v>
      </c>
      <c r="B36" s="31" t="s">
        <v>63</v>
      </c>
      <c r="C36" s="32" t="s">
        <v>94</v>
      </c>
      <c r="D36" s="31"/>
      <c r="E36" s="31"/>
      <c r="F36" s="31"/>
      <c r="G36" s="31"/>
      <c r="H36" s="31" t="s">
        <v>69</v>
      </c>
      <c r="I36" s="31"/>
      <c r="J36" s="31"/>
      <c r="K36" s="31"/>
      <c r="L36" s="31"/>
      <c r="M36" s="31"/>
      <c r="N36" s="31"/>
      <c r="O36" s="31"/>
      <c r="P36" s="31"/>
      <c r="Q36" s="31"/>
      <c r="R36" s="31"/>
      <c r="S36" s="31"/>
      <c r="T36" s="31"/>
      <c r="U36" s="31"/>
      <c r="V36" s="31"/>
      <c r="W36" s="31"/>
      <c r="X36" s="31"/>
      <c r="Y36" s="31"/>
      <c r="Z36" s="31"/>
      <c r="AA36" s="31"/>
      <c r="AB36" s="31"/>
      <c r="AC36" s="31"/>
      <c r="AD36" s="31"/>
    </row>
    <row r="37" spans="1:30" s="30" customFormat="1" ht="46.5">
      <c r="A37" s="57" t="s">
        <v>77</v>
      </c>
      <c r="B37" s="31" t="s">
        <v>63</v>
      </c>
      <c r="C37" s="32" t="s">
        <v>95</v>
      </c>
      <c r="D37" s="31"/>
      <c r="E37" s="31"/>
      <c r="F37" s="31"/>
      <c r="G37" s="31"/>
      <c r="H37" s="31" t="s">
        <v>70</v>
      </c>
      <c r="I37" s="31"/>
      <c r="J37" s="31"/>
      <c r="K37" s="31"/>
      <c r="L37" s="31"/>
      <c r="M37" s="31"/>
      <c r="N37" s="31"/>
      <c r="O37" s="31"/>
      <c r="P37" s="31"/>
      <c r="Q37" s="31"/>
      <c r="R37" s="31"/>
      <c r="S37" s="31"/>
      <c r="T37" s="31"/>
      <c r="U37" s="31"/>
      <c r="V37" s="31"/>
      <c r="W37" s="31"/>
      <c r="X37" s="31"/>
      <c r="Y37" s="31"/>
      <c r="Z37" s="31"/>
      <c r="AA37" s="31"/>
      <c r="AB37" s="31"/>
      <c r="AC37" s="31"/>
      <c r="AD37" s="31"/>
    </row>
    <row r="38" spans="1:30" s="30" customFormat="1" ht="46.5">
      <c r="A38" s="57" t="s">
        <v>77</v>
      </c>
      <c r="B38" s="31" t="s">
        <v>63</v>
      </c>
      <c r="C38" s="32" t="s">
        <v>96</v>
      </c>
      <c r="D38" s="31"/>
      <c r="E38" s="31"/>
      <c r="F38" s="31"/>
      <c r="G38" s="31"/>
      <c r="H38" s="31" t="s">
        <v>71</v>
      </c>
      <c r="I38" s="31"/>
      <c r="J38" s="31"/>
      <c r="K38" s="31"/>
      <c r="L38" s="31"/>
      <c r="M38" s="31"/>
      <c r="N38" s="31"/>
      <c r="O38" s="31"/>
      <c r="P38" s="31"/>
      <c r="Q38" s="31"/>
      <c r="R38" s="31"/>
      <c r="S38" s="31"/>
      <c r="T38" s="31"/>
      <c r="U38" s="31"/>
      <c r="V38" s="31"/>
      <c r="W38" s="31"/>
      <c r="X38" s="31"/>
      <c r="Y38" s="31"/>
      <c r="Z38" s="31"/>
      <c r="AA38" s="31"/>
      <c r="AB38" s="31"/>
      <c r="AC38" s="31"/>
      <c r="AD38" s="31"/>
    </row>
    <row r="39" spans="1:30" s="30" customFormat="1" ht="62">
      <c r="A39" s="57" t="s">
        <v>77</v>
      </c>
      <c r="B39" s="31" t="s">
        <v>63</v>
      </c>
      <c r="C39" s="32" t="s">
        <v>228</v>
      </c>
      <c r="D39" s="31"/>
      <c r="E39" s="31"/>
      <c r="F39" s="31"/>
      <c r="G39" s="31"/>
      <c r="H39" s="31" t="s">
        <v>218</v>
      </c>
      <c r="I39" s="31"/>
      <c r="J39" s="31"/>
      <c r="K39" s="31"/>
      <c r="L39" s="31"/>
      <c r="M39" s="31"/>
      <c r="N39" s="31"/>
      <c r="O39" s="31"/>
      <c r="P39" s="31"/>
      <c r="Q39" s="31"/>
      <c r="R39" s="31"/>
      <c r="S39" s="31"/>
      <c r="T39" s="31"/>
      <c r="U39" s="31"/>
      <c r="V39" s="31"/>
      <c r="W39" s="31"/>
      <c r="X39" s="31"/>
      <c r="Y39" s="31"/>
      <c r="Z39" s="31"/>
      <c r="AA39" s="31"/>
      <c r="AB39" s="31"/>
      <c r="AC39" s="31"/>
      <c r="AD39" s="31"/>
    </row>
    <row r="40" spans="1:30" s="30" customFormat="1" ht="62">
      <c r="A40" s="57" t="s">
        <v>77</v>
      </c>
      <c r="B40" s="31" t="s">
        <v>63</v>
      </c>
      <c r="C40" s="32" t="s">
        <v>229</v>
      </c>
      <c r="D40" s="31"/>
      <c r="E40" s="31"/>
      <c r="F40" s="31"/>
      <c r="G40" s="31"/>
      <c r="H40" s="31" t="s">
        <v>219</v>
      </c>
      <c r="I40" s="31"/>
      <c r="J40" s="31"/>
      <c r="K40" s="31"/>
      <c r="L40" s="31"/>
      <c r="M40" s="31"/>
      <c r="N40" s="31"/>
      <c r="O40" s="31"/>
      <c r="P40" s="31"/>
      <c r="Q40" s="31"/>
      <c r="R40" s="31"/>
      <c r="S40" s="31"/>
      <c r="T40" s="31"/>
      <c r="U40" s="31"/>
      <c r="V40" s="31"/>
      <c r="W40" s="31"/>
      <c r="X40" s="31"/>
      <c r="Y40" s="31"/>
      <c r="Z40" s="31"/>
      <c r="AA40" s="31"/>
      <c r="AB40" s="31"/>
      <c r="AC40" s="31"/>
      <c r="AD40" s="31"/>
    </row>
    <row r="41" spans="1:30" s="30" customFormat="1" ht="62">
      <c r="A41" s="57" t="s">
        <v>77</v>
      </c>
      <c r="B41" s="31" t="s">
        <v>63</v>
      </c>
      <c r="C41" s="36" t="s">
        <v>230</v>
      </c>
      <c r="D41" s="31"/>
      <c r="E41" s="31"/>
      <c r="F41" s="31"/>
      <c r="G41" s="31"/>
      <c r="H41" s="31" t="s">
        <v>220</v>
      </c>
      <c r="I41" s="31"/>
      <c r="J41" s="31"/>
      <c r="K41" s="31"/>
      <c r="L41" s="31"/>
      <c r="M41" s="31"/>
      <c r="N41" s="31"/>
      <c r="O41" s="31"/>
      <c r="P41" s="31"/>
      <c r="Q41" s="31"/>
      <c r="R41" s="31"/>
      <c r="S41" s="31"/>
      <c r="T41" s="31"/>
      <c r="U41" s="31"/>
      <c r="V41" s="31"/>
      <c r="W41" s="31"/>
      <c r="X41" s="31"/>
      <c r="Y41" s="31"/>
      <c r="Z41" s="31"/>
      <c r="AA41" s="31"/>
      <c r="AB41" s="31"/>
      <c r="AC41" s="31"/>
      <c r="AD41" s="31"/>
    </row>
    <row r="42" spans="1:30" s="30" customFormat="1" ht="62">
      <c r="A42" s="57" t="s">
        <v>77</v>
      </c>
      <c r="B42" s="31" t="s">
        <v>63</v>
      </c>
      <c r="C42" s="32" t="s">
        <v>231</v>
      </c>
      <c r="D42" s="31"/>
      <c r="E42" s="31"/>
      <c r="F42" s="31"/>
      <c r="G42" s="31"/>
      <c r="H42" s="31" t="s">
        <v>221</v>
      </c>
      <c r="I42" s="31"/>
      <c r="J42" s="31"/>
      <c r="K42" s="31"/>
      <c r="L42" s="31"/>
      <c r="M42" s="31"/>
      <c r="N42" s="31"/>
      <c r="O42" s="31"/>
      <c r="P42" s="31"/>
      <c r="Q42" s="31"/>
      <c r="R42" s="31"/>
      <c r="S42" s="31"/>
      <c r="T42" s="31"/>
      <c r="U42" s="31"/>
      <c r="V42" s="31"/>
      <c r="W42" s="31"/>
      <c r="X42" s="31"/>
      <c r="Y42" s="31"/>
      <c r="Z42" s="31"/>
      <c r="AA42" s="31"/>
      <c r="AB42" s="31"/>
      <c r="AC42" s="31"/>
      <c r="AD42" s="31"/>
    </row>
    <row r="43" spans="1:30" s="30" customFormat="1" ht="77.5">
      <c r="A43" s="57" t="s">
        <v>77</v>
      </c>
      <c r="B43" s="31" t="s">
        <v>63</v>
      </c>
      <c r="C43" s="32" t="s">
        <v>232</v>
      </c>
      <c r="D43" s="31"/>
      <c r="E43" s="31"/>
      <c r="F43" s="31"/>
      <c r="G43" s="31"/>
      <c r="H43" s="31" t="s">
        <v>227</v>
      </c>
      <c r="I43" s="31"/>
      <c r="J43" s="31"/>
      <c r="K43" s="31"/>
      <c r="L43" s="31"/>
      <c r="M43" s="31"/>
      <c r="N43" s="31"/>
      <c r="O43" s="31"/>
      <c r="P43" s="31"/>
      <c r="Q43" s="31"/>
      <c r="R43" s="31"/>
      <c r="S43" s="31"/>
      <c r="T43" s="31"/>
      <c r="U43" s="31"/>
      <c r="V43" s="31"/>
      <c r="W43" s="31"/>
      <c r="X43" s="31"/>
      <c r="Y43" s="31"/>
      <c r="Z43" s="31"/>
      <c r="AA43" s="31"/>
      <c r="AB43" s="31"/>
      <c r="AC43" s="31"/>
      <c r="AD43" s="31"/>
    </row>
    <row r="44" spans="1:30" s="30" customFormat="1">
      <c r="A44" s="57" t="s">
        <v>79</v>
      </c>
      <c r="B44" s="31" t="s">
        <v>63</v>
      </c>
      <c r="C44" s="32" t="s">
        <v>81</v>
      </c>
      <c r="D44" s="57"/>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spans="1:30" s="30" customFormat="1">
      <c r="A45" s="57" t="s">
        <v>251</v>
      </c>
      <c r="B45" s="31" t="s">
        <v>63</v>
      </c>
      <c r="C45" s="32" t="s">
        <v>252</v>
      </c>
      <c r="D45" s="58"/>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row>
    <row r="46" spans="1:30" s="30" customFormat="1" ht="31">
      <c r="A46" s="57" t="s">
        <v>253</v>
      </c>
      <c r="B46" s="31" t="s">
        <v>63</v>
      </c>
      <c r="C46" s="32" t="s">
        <v>254</v>
      </c>
      <c r="D46" s="57"/>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spans="1:30" s="30" customFormat="1">
      <c r="A47" s="57" t="s">
        <v>80</v>
      </c>
      <c r="B47" s="31" t="s">
        <v>63</v>
      </c>
      <c r="C47" s="32" t="s">
        <v>82</v>
      </c>
      <c r="D47" s="57"/>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spans="1:30" s="30" customFormat="1">
      <c r="A48" s="57" t="s">
        <v>83</v>
      </c>
      <c r="B48" s="31" t="s">
        <v>63</v>
      </c>
      <c r="C48" s="32" t="s">
        <v>85</v>
      </c>
      <c r="D48" s="57"/>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spans="1:30" s="30" customFormat="1">
      <c r="A49" s="57" t="s">
        <v>83</v>
      </c>
      <c r="B49" s="31" t="s">
        <v>63</v>
      </c>
      <c r="C49" s="32" t="s">
        <v>86</v>
      </c>
      <c r="D49" s="31"/>
      <c r="E49" s="31"/>
      <c r="F49" s="31"/>
      <c r="G49" s="31"/>
      <c r="H49" s="31" t="s">
        <v>84</v>
      </c>
      <c r="I49" s="31"/>
      <c r="J49" s="31"/>
      <c r="K49" s="31"/>
      <c r="L49" s="31"/>
      <c r="M49" s="31"/>
      <c r="N49" s="31"/>
      <c r="O49" s="31"/>
      <c r="P49" s="31"/>
      <c r="Q49" s="31"/>
      <c r="R49" s="31"/>
      <c r="S49" s="31"/>
      <c r="T49" s="31"/>
      <c r="U49" s="31"/>
      <c r="V49" s="31"/>
      <c r="W49" s="31"/>
      <c r="X49" s="31"/>
      <c r="Y49" s="31"/>
      <c r="Z49" s="31"/>
      <c r="AA49" s="31"/>
      <c r="AB49" s="31"/>
      <c r="AC49" s="31"/>
      <c r="AD49" s="31"/>
    </row>
    <row r="50" spans="1:30" s="30" customFormat="1">
      <c r="A50" s="57" t="s">
        <v>97</v>
      </c>
      <c r="B50" s="31" t="s">
        <v>63</v>
      </c>
      <c r="C50" s="32" t="s">
        <v>98</v>
      </c>
      <c r="D50" s="57"/>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spans="1:30" s="30" customFormat="1">
      <c r="A51" s="57" t="s">
        <v>97</v>
      </c>
      <c r="B51" s="31" t="s">
        <v>63</v>
      </c>
      <c r="C51" s="32" t="s">
        <v>99</v>
      </c>
      <c r="D51" s="31"/>
      <c r="E51" s="31"/>
      <c r="F51" s="31"/>
      <c r="G51" s="31"/>
      <c r="H51" s="31" t="s">
        <v>84</v>
      </c>
      <c r="I51" s="31"/>
      <c r="J51" s="31"/>
      <c r="K51" s="31"/>
      <c r="L51" s="31"/>
      <c r="M51" s="31"/>
      <c r="N51" s="31"/>
      <c r="O51" s="31"/>
      <c r="P51" s="31"/>
      <c r="Q51" s="31"/>
      <c r="R51" s="31"/>
      <c r="S51" s="31"/>
      <c r="T51" s="31"/>
      <c r="U51" s="31"/>
      <c r="V51" s="31"/>
      <c r="W51" s="31"/>
      <c r="X51" s="31"/>
      <c r="Y51" s="31"/>
      <c r="Z51" s="31"/>
      <c r="AA51" s="31"/>
      <c r="AB51" s="31"/>
      <c r="AC51" s="31"/>
      <c r="AD51" s="31"/>
    </row>
    <row r="52" spans="1:30" s="30" customFormat="1">
      <c r="A52" s="57" t="s">
        <v>313</v>
      </c>
      <c r="B52" s="31" t="s">
        <v>63</v>
      </c>
      <c r="C52" s="32" t="s">
        <v>314</v>
      </c>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spans="1:30" s="30" customFormat="1">
      <c r="A53" s="57" t="s">
        <v>18</v>
      </c>
      <c r="B53" s="31" t="s">
        <v>63</v>
      </c>
      <c r="C53" s="32" t="s">
        <v>103</v>
      </c>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spans="1:30" s="30" customFormat="1" ht="31">
      <c r="A54" s="57" t="s">
        <v>18</v>
      </c>
      <c r="B54" s="31" t="s">
        <v>63</v>
      </c>
      <c r="C54" s="32" t="s">
        <v>104</v>
      </c>
      <c r="D54" s="31"/>
      <c r="E54" s="31"/>
      <c r="F54" s="31"/>
      <c r="G54" s="31"/>
      <c r="H54" s="31" t="s">
        <v>100</v>
      </c>
      <c r="I54" s="31"/>
      <c r="J54" s="31"/>
      <c r="K54" s="31"/>
      <c r="L54" s="31"/>
      <c r="M54" s="31"/>
      <c r="N54" s="31"/>
      <c r="O54" s="31"/>
      <c r="P54" s="31"/>
      <c r="Q54" s="31"/>
      <c r="R54" s="31"/>
      <c r="S54" s="31"/>
      <c r="T54" s="31"/>
      <c r="U54" s="31"/>
      <c r="V54" s="31"/>
      <c r="W54" s="31"/>
      <c r="X54" s="31"/>
      <c r="Y54" s="31"/>
      <c r="Z54" s="31"/>
      <c r="AA54" s="31"/>
      <c r="AB54" s="31"/>
      <c r="AC54" s="31"/>
      <c r="AD54" s="31"/>
    </row>
    <row r="55" spans="1:30" s="30" customFormat="1" ht="31">
      <c r="A55" s="57" t="s">
        <v>18</v>
      </c>
      <c r="B55" s="31" t="s">
        <v>63</v>
      </c>
      <c r="C55" s="32" t="s">
        <v>105</v>
      </c>
      <c r="D55" s="31"/>
      <c r="E55" s="31"/>
      <c r="F55" s="31"/>
      <c r="G55" s="31"/>
      <c r="H55" s="31" t="s">
        <v>101</v>
      </c>
      <c r="I55" s="31"/>
      <c r="J55" s="31"/>
      <c r="K55" s="31"/>
      <c r="L55" s="31"/>
      <c r="M55" s="31"/>
      <c r="N55" s="31"/>
      <c r="O55" s="31"/>
      <c r="P55" s="31"/>
      <c r="Q55" s="31"/>
      <c r="R55" s="31"/>
      <c r="S55" s="31"/>
      <c r="T55" s="31"/>
      <c r="U55" s="31"/>
      <c r="V55" s="31"/>
      <c r="W55" s="31"/>
      <c r="X55" s="31"/>
      <c r="Y55" s="31"/>
      <c r="Z55" s="31"/>
      <c r="AA55" s="31"/>
      <c r="AB55" s="31"/>
      <c r="AC55" s="31"/>
      <c r="AD55" s="31"/>
    </row>
    <row r="56" spans="1:30" s="30" customFormat="1" ht="31">
      <c r="A56" s="57" t="s">
        <v>18</v>
      </c>
      <c r="B56" s="31" t="s">
        <v>63</v>
      </c>
      <c r="C56" s="32" t="s">
        <v>106</v>
      </c>
      <c r="D56" s="31"/>
      <c r="E56" s="31"/>
      <c r="F56" s="31"/>
      <c r="G56" s="31"/>
      <c r="H56" s="31" t="s">
        <v>102</v>
      </c>
      <c r="I56" s="31"/>
      <c r="J56" s="31"/>
      <c r="K56" s="31"/>
      <c r="L56" s="31"/>
      <c r="M56" s="31"/>
      <c r="N56" s="31"/>
      <c r="O56" s="31"/>
      <c r="P56" s="31"/>
      <c r="Q56" s="31"/>
      <c r="R56" s="31"/>
      <c r="S56" s="31"/>
      <c r="T56" s="31"/>
      <c r="U56" s="31"/>
      <c r="V56" s="31"/>
      <c r="W56" s="31"/>
      <c r="X56" s="31"/>
      <c r="Y56" s="31"/>
      <c r="Z56" s="31"/>
      <c r="AA56" s="31"/>
      <c r="AB56" s="31"/>
      <c r="AC56" s="31"/>
      <c r="AD56" s="31"/>
    </row>
    <row r="57" spans="1:30" s="30" customFormat="1">
      <c r="A57" s="57" t="s">
        <v>107</v>
      </c>
      <c r="B57" s="31" t="s">
        <v>63</v>
      </c>
      <c r="C57" s="32" t="s">
        <v>108</v>
      </c>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spans="1:30" s="30" customFormat="1">
      <c r="A58" s="57" t="s">
        <v>109</v>
      </c>
      <c r="B58" s="31" t="s">
        <v>63</v>
      </c>
      <c r="C58" s="32" t="s">
        <v>110</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spans="1:30" s="30" customFormat="1" ht="31">
      <c r="A59" s="57" t="s">
        <v>243</v>
      </c>
      <c r="B59" s="31" t="s">
        <v>63</v>
      </c>
      <c r="C59" s="32" t="s">
        <v>244</v>
      </c>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spans="1:30" s="30" customFormat="1">
      <c r="A60" s="57" t="s">
        <v>33</v>
      </c>
      <c r="B60" s="31" t="s">
        <v>63</v>
      </c>
      <c r="C60" s="32" t="s">
        <v>111</v>
      </c>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spans="1:30" s="30" customFormat="1">
      <c r="A61" s="57" t="s">
        <v>24</v>
      </c>
      <c r="B61" s="31" t="s">
        <v>63</v>
      </c>
      <c r="C61" s="32"/>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spans="1:30" s="30" customFormat="1">
      <c r="A62" s="57" t="s">
        <v>25</v>
      </c>
      <c r="B62" s="31" t="s">
        <v>63</v>
      </c>
      <c r="C62" s="32"/>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spans="1:30" s="30" customFormat="1">
      <c r="A63" s="57" t="s">
        <v>26</v>
      </c>
      <c r="B63" s="31" t="s">
        <v>63</v>
      </c>
      <c r="C63" s="32"/>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spans="1:30" s="30" customFormat="1">
      <c r="A64" s="57" t="s">
        <v>27</v>
      </c>
      <c r="B64" s="31" t="s">
        <v>63</v>
      </c>
      <c r="C64" s="32"/>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spans="1:30" s="30" customFormat="1">
      <c r="A65" s="57" t="s">
        <v>29</v>
      </c>
      <c r="B65" s="31" t="s">
        <v>63</v>
      </c>
      <c r="C65" s="32"/>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spans="1:30" s="30" customFormat="1">
      <c r="A66" s="57" t="s">
        <v>238</v>
      </c>
      <c r="B66" s="31" t="s">
        <v>63</v>
      </c>
      <c r="C66" s="32"/>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spans="1:30" s="30" customFormat="1">
      <c r="A67" s="57" t="s">
        <v>28</v>
      </c>
      <c r="B67" s="31" t="s">
        <v>63</v>
      </c>
      <c r="C67" s="32"/>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spans="1:30" s="30" customFormat="1">
      <c r="A68" s="57" t="s">
        <v>112</v>
      </c>
      <c r="B68" s="31" t="s">
        <v>63</v>
      </c>
      <c r="C68" s="32"/>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spans="1:30" s="30" customFormat="1">
      <c r="A69" s="57" t="s">
        <v>113</v>
      </c>
      <c r="B69" s="31" t="s">
        <v>63</v>
      </c>
      <c r="C69" s="32"/>
      <c r="D69" s="31"/>
      <c r="E69" s="31"/>
      <c r="F69" s="31"/>
      <c r="G69" s="31"/>
      <c r="H69" s="31"/>
      <c r="I69" s="31"/>
      <c r="J69" s="31"/>
      <c r="K69" s="31"/>
      <c r="L69" s="31"/>
      <c r="M69" s="31"/>
      <c r="N69" s="31"/>
      <c r="O69" s="31"/>
      <c r="P69" s="31"/>
      <c r="Q69" s="31"/>
      <c r="R69" s="31" t="s">
        <v>115</v>
      </c>
      <c r="S69" s="31"/>
      <c r="T69" s="31"/>
      <c r="U69" s="31"/>
      <c r="V69" s="31"/>
      <c r="W69" s="31"/>
      <c r="X69" s="31"/>
      <c r="Y69" s="31"/>
      <c r="Z69" s="31"/>
      <c r="AA69" s="31"/>
      <c r="AB69" s="31"/>
      <c r="AC69" s="31"/>
      <c r="AD69" s="31"/>
    </row>
    <row r="70" spans="1:30" s="30" customFormat="1">
      <c r="A70" s="57" t="s">
        <v>114</v>
      </c>
      <c r="B70" s="31" t="s">
        <v>63</v>
      </c>
      <c r="C70" s="32"/>
      <c r="D70" s="31"/>
      <c r="E70" s="31"/>
      <c r="F70" s="31"/>
      <c r="G70" s="31"/>
      <c r="H70" s="31"/>
      <c r="I70" s="31"/>
      <c r="J70" s="31"/>
      <c r="K70" s="31"/>
      <c r="L70" s="31"/>
      <c r="M70" s="31"/>
      <c r="N70" s="31"/>
      <c r="O70" s="31"/>
      <c r="P70" s="31"/>
      <c r="Q70" s="31"/>
      <c r="R70" s="31" t="s">
        <v>116</v>
      </c>
      <c r="S70" s="31"/>
      <c r="T70" s="31"/>
      <c r="U70" s="31"/>
      <c r="V70" s="31"/>
      <c r="W70" s="31"/>
      <c r="X70" s="31"/>
      <c r="Y70" s="31"/>
      <c r="Z70" s="31"/>
      <c r="AA70" s="31"/>
      <c r="AB70" s="31"/>
      <c r="AC70" s="31"/>
      <c r="AD70" s="31"/>
    </row>
    <row r="71" spans="1:30" s="30" customFormat="1">
      <c r="A71" s="57" t="s">
        <v>117</v>
      </c>
      <c r="B71" s="31" t="s">
        <v>63</v>
      </c>
      <c r="C71" s="32"/>
      <c r="D71" s="31"/>
      <c r="E71" s="31"/>
      <c r="F71" s="31"/>
      <c r="G71" s="31"/>
      <c r="H71" s="31" t="s">
        <v>348</v>
      </c>
      <c r="I71" s="31"/>
      <c r="J71" s="31"/>
      <c r="K71" s="31"/>
      <c r="L71" s="31"/>
      <c r="M71" s="31"/>
      <c r="N71" s="31"/>
      <c r="O71" s="31"/>
      <c r="P71" s="31"/>
      <c r="Q71" s="31"/>
      <c r="R71" s="31"/>
      <c r="S71" s="31"/>
      <c r="T71" s="31"/>
      <c r="U71" s="31"/>
      <c r="V71" s="31"/>
      <c r="W71" s="31"/>
      <c r="X71" s="31"/>
      <c r="Y71" s="31"/>
      <c r="Z71" s="31"/>
      <c r="AA71" s="31"/>
      <c r="AB71" s="31"/>
      <c r="AC71" s="31"/>
      <c r="AD71" s="31"/>
    </row>
    <row r="72" spans="1:30" s="30" customFormat="1">
      <c r="A72" s="31" t="s">
        <v>117</v>
      </c>
      <c r="B72" s="31" t="s">
        <v>63</v>
      </c>
      <c r="C72" s="32"/>
      <c r="D72" s="31"/>
      <c r="E72" s="31"/>
      <c r="F72" s="31"/>
      <c r="G72" s="31"/>
      <c r="H72" s="31" t="s">
        <v>347</v>
      </c>
      <c r="I72" s="31"/>
      <c r="J72" s="31"/>
      <c r="K72" s="31"/>
      <c r="L72" s="31"/>
      <c r="M72" s="31"/>
      <c r="N72" s="31"/>
      <c r="O72" s="31"/>
      <c r="P72" s="31"/>
      <c r="Q72" s="31"/>
      <c r="R72" s="31"/>
      <c r="S72" s="31"/>
      <c r="T72" s="31"/>
      <c r="U72" s="31"/>
      <c r="V72" s="31"/>
      <c r="W72" s="31"/>
      <c r="X72" s="31"/>
      <c r="Y72" s="31"/>
      <c r="Z72" s="31"/>
      <c r="AA72" s="31"/>
      <c r="AB72" s="31"/>
      <c r="AC72" s="31"/>
      <c r="AD72" s="31"/>
    </row>
    <row r="73" spans="1:30" s="30" customFormat="1">
      <c r="A73" s="57" t="s">
        <v>118</v>
      </c>
      <c r="B73" s="31" t="s">
        <v>63</v>
      </c>
      <c r="C73" s="32"/>
      <c r="D73" s="31"/>
      <c r="E73" s="31"/>
      <c r="F73" s="31"/>
      <c r="G73" s="31"/>
      <c r="H73" s="31" t="s">
        <v>349</v>
      </c>
      <c r="I73" s="31"/>
      <c r="J73" s="31"/>
      <c r="K73" s="31"/>
      <c r="L73" s="31"/>
      <c r="M73" s="31"/>
      <c r="N73" s="31"/>
      <c r="O73" s="31"/>
      <c r="P73" s="31"/>
      <c r="Q73" s="31"/>
      <c r="R73" s="31"/>
      <c r="S73" s="31"/>
      <c r="T73" s="31"/>
      <c r="U73" s="31"/>
      <c r="V73" s="31"/>
      <c r="W73" s="31"/>
      <c r="X73" s="31"/>
      <c r="Y73" s="31"/>
      <c r="Z73" s="31"/>
      <c r="AA73" s="31"/>
      <c r="AB73" s="31"/>
      <c r="AC73" s="31"/>
      <c r="AD73" s="31"/>
    </row>
    <row r="74" spans="1:30" s="30" customFormat="1">
      <c r="A74" s="57" t="s">
        <v>118</v>
      </c>
      <c r="B74" s="31" t="s">
        <v>63</v>
      </c>
      <c r="C74" s="32"/>
      <c r="D74" s="31"/>
      <c r="E74" s="31"/>
      <c r="F74" s="31"/>
      <c r="G74" s="31"/>
      <c r="H74" s="31" t="s">
        <v>350</v>
      </c>
      <c r="I74" s="31"/>
      <c r="J74" s="31"/>
      <c r="K74" s="31"/>
      <c r="L74" s="31"/>
      <c r="M74" s="31"/>
      <c r="N74" s="31"/>
      <c r="O74" s="31"/>
      <c r="P74" s="31"/>
      <c r="Q74" s="31"/>
      <c r="R74" s="31"/>
      <c r="S74" s="31"/>
      <c r="T74" s="31"/>
      <c r="U74" s="31"/>
      <c r="V74" s="31"/>
      <c r="W74" s="31"/>
      <c r="X74" s="31"/>
      <c r="Y74" s="31"/>
      <c r="Z74" s="31"/>
      <c r="AA74" s="31"/>
      <c r="AB74" s="31"/>
      <c r="AC74" s="31"/>
      <c r="AD74" s="31"/>
    </row>
    <row r="75" spans="1:30" s="30" customFormat="1">
      <c r="A75" s="57" t="s">
        <v>118</v>
      </c>
      <c r="B75" s="31" t="s">
        <v>63</v>
      </c>
      <c r="C75" s="32"/>
      <c r="D75" s="31"/>
      <c r="E75" s="31"/>
      <c r="F75" s="31"/>
      <c r="G75" s="31"/>
      <c r="H75" s="31" t="s">
        <v>351</v>
      </c>
      <c r="I75" s="31"/>
      <c r="J75" s="31"/>
      <c r="K75" s="31"/>
      <c r="L75" s="31"/>
      <c r="M75" s="31"/>
      <c r="N75" s="31"/>
      <c r="O75" s="31"/>
      <c r="P75" s="31"/>
      <c r="Q75" s="31"/>
      <c r="R75" s="31"/>
      <c r="S75" s="31"/>
      <c r="T75" s="31"/>
      <c r="U75" s="31"/>
      <c r="V75" s="31"/>
      <c r="W75" s="31"/>
      <c r="X75" s="31"/>
      <c r="Y75" s="31"/>
      <c r="Z75" s="31"/>
      <c r="AA75" s="31"/>
      <c r="AB75" s="31"/>
      <c r="AC75" s="31"/>
      <c r="AD75" s="31"/>
    </row>
    <row r="76" spans="1:30" s="30" customFormat="1">
      <c r="A76" s="57" t="s">
        <v>119</v>
      </c>
      <c r="B76" s="31" t="s">
        <v>122</v>
      </c>
      <c r="C76" s="32" t="s">
        <v>120</v>
      </c>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spans="1:30" s="30" customFormat="1">
      <c r="A77" s="31" t="s">
        <v>123</v>
      </c>
      <c r="B77" s="31"/>
      <c r="C77" s="32"/>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spans="1:30" s="30" customFormat="1">
      <c r="A78" s="31" t="s">
        <v>121</v>
      </c>
      <c r="B78" s="31" t="s">
        <v>122</v>
      </c>
      <c r="C78" s="32"/>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spans="1:30" s="30" customFormat="1">
      <c r="A79" s="57" t="s">
        <v>124</v>
      </c>
      <c r="B79" s="31" t="s">
        <v>126</v>
      </c>
      <c r="C79" s="32" t="s">
        <v>127</v>
      </c>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spans="1:30" s="30" customFormat="1">
      <c r="A80" s="31" t="s">
        <v>123</v>
      </c>
      <c r="B80" s="31"/>
      <c r="C80" s="32"/>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spans="1:30" s="30" customFormat="1">
      <c r="A81" s="31" t="s">
        <v>125</v>
      </c>
      <c r="B81" s="31" t="s">
        <v>126</v>
      </c>
      <c r="C81" s="32"/>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spans="1:30" s="30" customFormat="1">
      <c r="A82" s="57" t="s">
        <v>124</v>
      </c>
      <c r="B82" s="31" t="s">
        <v>126</v>
      </c>
      <c r="C82" s="32" t="s">
        <v>128</v>
      </c>
      <c r="D82" s="31"/>
      <c r="E82" s="31"/>
      <c r="F82" s="31"/>
      <c r="G82" s="31"/>
      <c r="H82" s="31"/>
      <c r="I82" s="31"/>
      <c r="J82" s="31"/>
      <c r="K82" s="31"/>
      <c r="L82" s="31"/>
      <c r="M82" s="31"/>
      <c r="N82" s="31"/>
      <c r="O82" s="31"/>
      <c r="P82" s="31"/>
      <c r="Q82" s="31"/>
      <c r="R82" s="31"/>
      <c r="S82" s="33">
        <v>3</v>
      </c>
      <c r="T82" s="31"/>
      <c r="U82" s="31"/>
      <c r="V82" s="31"/>
      <c r="W82" s="31"/>
      <c r="X82" s="31"/>
      <c r="Y82" s="31"/>
      <c r="Z82" s="31"/>
      <c r="AA82" s="31"/>
      <c r="AB82" s="31"/>
      <c r="AC82" s="31"/>
      <c r="AD82" s="31"/>
    </row>
    <row r="83" spans="1:30" s="30" customFormat="1">
      <c r="A83" s="31" t="s">
        <v>123</v>
      </c>
      <c r="B83" s="31"/>
      <c r="C83" s="32"/>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spans="1:30" s="30" customFormat="1">
      <c r="A84" s="31" t="s">
        <v>125</v>
      </c>
      <c r="B84" s="31" t="s">
        <v>126</v>
      </c>
      <c r="C84" s="32"/>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spans="1:30" s="30" customFormat="1">
      <c r="A85" s="57" t="s">
        <v>236</v>
      </c>
      <c r="B85" s="31" t="s">
        <v>63</v>
      </c>
      <c r="C85" s="32"/>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spans="1:30" s="30" customFormat="1">
      <c r="A86" s="57" t="s">
        <v>237</v>
      </c>
      <c r="B86" s="31" t="s">
        <v>63</v>
      </c>
      <c r="C86" s="32"/>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spans="1:30" s="30" customFormat="1">
      <c r="A87" s="57" t="s">
        <v>235</v>
      </c>
      <c r="B87" s="31" t="s">
        <v>63</v>
      </c>
      <c r="C87" s="32"/>
      <c r="D87" s="31"/>
      <c r="E87" s="31"/>
      <c r="F87" s="31"/>
      <c r="G87" s="31"/>
      <c r="H87" s="31" t="s">
        <v>352</v>
      </c>
      <c r="I87" s="31"/>
      <c r="J87" s="31"/>
      <c r="K87" s="31"/>
      <c r="L87" s="31"/>
      <c r="M87" s="31"/>
      <c r="N87" s="31"/>
      <c r="O87" s="31"/>
      <c r="P87" s="31"/>
      <c r="Q87" s="31"/>
      <c r="R87" s="31"/>
      <c r="S87" s="31"/>
      <c r="T87" s="31"/>
      <c r="U87" s="31"/>
      <c r="V87" s="31"/>
      <c r="W87" s="31"/>
      <c r="X87" s="31"/>
      <c r="Y87" s="31"/>
      <c r="Z87" s="31"/>
      <c r="AA87" s="31"/>
      <c r="AB87" s="31"/>
      <c r="AC87" s="31"/>
      <c r="AD87" s="31"/>
    </row>
    <row r="88" spans="1:30" s="30" customFormat="1">
      <c r="A88" s="57" t="s">
        <v>272</v>
      </c>
      <c r="B88" s="31" t="s">
        <v>63</v>
      </c>
      <c r="C88" s="32"/>
      <c r="D88" s="31"/>
      <c r="E88" s="31"/>
      <c r="F88" s="31"/>
      <c r="G88" s="31"/>
      <c r="H88" s="31" t="s">
        <v>353</v>
      </c>
      <c r="I88" s="31"/>
      <c r="J88" s="31"/>
      <c r="K88" s="31"/>
      <c r="L88" s="31"/>
      <c r="M88" s="31"/>
      <c r="N88" s="31"/>
      <c r="O88" s="31"/>
      <c r="P88" s="31"/>
      <c r="Q88" s="31"/>
      <c r="R88" s="31"/>
      <c r="S88" s="31"/>
      <c r="T88" s="31"/>
      <c r="U88" s="31"/>
      <c r="V88" s="31"/>
      <c r="W88" s="31"/>
      <c r="X88" s="31"/>
      <c r="Y88" s="31"/>
      <c r="Z88" s="31"/>
      <c r="AA88" s="31"/>
      <c r="AB88" s="31"/>
      <c r="AC88" s="31"/>
      <c r="AD88" s="31"/>
    </row>
    <row r="89" spans="1:30" s="30" customFormat="1">
      <c r="A89" s="57" t="s">
        <v>273</v>
      </c>
      <c r="B89" s="31" t="s">
        <v>63</v>
      </c>
      <c r="C89" s="32"/>
      <c r="D89" s="31"/>
      <c r="E89" s="31"/>
      <c r="F89" s="31"/>
      <c r="G89" s="31"/>
      <c r="H89" s="31" t="s">
        <v>354</v>
      </c>
      <c r="I89" s="31"/>
      <c r="J89" s="31"/>
      <c r="K89" s="31"/>
      <c r="L89" s="31"/>
      <c r="M89" s="31"/>
      <c r="N89" s="31"/>
      <c r="O89" s="31"/>
      <c r="P89" s="31"/>
      <c r="Q89" s="31"/>
      <c r="R89" s="31"/>
      <c r="S89" s="31"/>
      <c r="T89" s="31"/>
      <c r="U89" s="31"/>
      <c r="V89" s="31"/>
      <c r="W89" s="31"/>
      <c r="X89" s="31"/>
      <c r="Y89" s="31"/>
      <c r="Z89" s="31"/>
      <c r="AA89" s="31"/>
      <c r="AB89" s="31"/>
      <c r="AC89" s="31"/>
      <c r="AD89" s="31"/>
    </row>
    <row r="91" spans="1:30">
      <c r="A91" s="99" t="s">
        <v>284</v>
      </c>
      <c r="B91" s="99"/>
      <c r="C91" s="41"/>
      <c r="D91" s="42"/>
    </row>
    <row r="92" spans="1:30">
      <c r="A92" s="89" t="s">
        <v>346</v>
      </c>
      <c r="B92" s="90"/>
      <c r="C92" s="91"/>
      <c r="D92" s="42"/>
    </row>
    <row r="94" spans="1:30">
      <c r="A94" s="20" t="s">
        <v>129</v>
      </c>
      <c r="B94" s="20" t="s">
        <v>130</v>
      </c>
      <c r="C94" s="20" t="s">
        <v>131</v>
      </c>
      <c r="D94" s="20" t="s">
        <v>132</v>
      </c>
    </row>
    <row r="95" spans="1:30">
      <c r="A95" s="21" t="s">
        <v>133</v>
      </c>
      <c r="B95" s="21" t="s">
        <v>134</v>
      </c>
      <c r="C95" s="21" t="s">
        <v>135</v>
      </c>
      <c r="D95" s="21">
        <v>2</v>
      </c>
    </row>
    <row r="96" spans="1:30">
      <c r="A96" s="21" t="s">
        <v>136</v>
      </c>
      <c r="B96" s="21" t="s">
        <v>137</v>
      </c>
      <c r="C96" s="22" t="str">
        <f>"3 - 2"</f>
        <v>3 - 2</v>
      </c>
      <c r="D96" s="21">
        <v>1</v>
      </c>
    </row>
    <row r="97" spans="1:4">
      <c r="A97" s="21" t="s">
        <v>138</v>
      </c>
      <c r="B97" s="21" t="s">
        <v>139</v>
      </c>
      <c r="C97" s="21" t="s">
        <v>140</v>
      </c>
      <c r="D97" s="21">
        <v>6</v>
      </c>
    </row>
    <row r="98" spans="1:4">
      <c r="A98" s="21" t="s">
        <v>141</v>
      </c>
      <c r="B98" s="21" t="s">
        <v>142</v>
      </c>
      <c r="C98" s="21" t="s">
        <v>143</v>
      </c>
      <c r="D98" s="21">
        <v>5</v>
      </c>
    </row>
    <row r="99" spans="1:4">
      <c r="A99" s="21" t="s">
        <v>144</v>
      </c>
      <c r="B99" s="21" t="s">
        <v>145</v>
      </c>
      <c r="C99" s="21" t="s">
        <v>146</v>
      </c>
      <c r="D99" s="21">
        <v>1</v>
      </c>
    </row>
    <row r="100" spans="1:4">
      <c r="A100" s="21" t="s">
        <v>147</v>
      </c>
      <c r="B100" s="21" t="s">
        <v>148</v>
      </c>
      <c r="C100" s="21" t="s">
        <v>149</v>
      </c>
      <c r="D100" s="21" t="s">
        <v>150</v>
      </c>
    </row>
    <row r="101" spans="1:4">
      <c r="A101" s="21" t="s">
        <v>151</v>
      </c>
      <c r="B101" s="21" t="s">
        <v>152</v>
      </c>
      <c r="C101" s="21" t="s">
        <v>153</v>
      </c>
      <c r="D101" s="21" t="s">
        <v>150</v>
      </c>
    </row>
    <row r="102" spans="1:4">
      <c r="A102" s="21" t="s">
        <v>154</v>
      </c>
      <c r="B102" s="21" t="s">
        <v>155</v>
      </c>
      <c r="C102" s="21" t="s">
        <v>156</v>
      </c>
      <c r="D102" s="21" t="s">
        <v>150</v>
      </c>
    </row>
    <row r="103" spans="1:4">
      <c r="A103" s="21" t="s">
        <v>157</v>
      </c>
      <c r="B103" s="21" t="s">
        <v>158</v>
      </c>
      <c r="C103" s="21" t="s">
        <v>159</v>
      </c>
      <c r="D103" s="21" t="s">
        <v>150</v>
      </c>
    </row>
    <row r="104" spans="1:4">
      <c r="A104" s="21" t="s">
        <v>160</v>
      </c>
      <c r="B104" s="21" t="s">
        <v>161</v>
      </c>
      <c r="C104" s="21" t="s">
        <v>162</v>
      </c>
      <c r="D104" s="21" t="s">
        <v>150</v>
      </c>
    </row>
    <row r="105" spans="1:4">
      <c r="A105" s="21" t="s">
        <v>163</v>
      </c>
      <c r="B105" s="21" t="s">
        <v>164</v>
      </c>
      <c r="C105" s="21" t="s">
        <v>165</v>
      </c>
      <c r="D105" s="21" t="s">
        <v>150</v>
      </c>
    </row>
    <row r="106" spans="1:4">
      <c r="A106" s="21" t="s">
        <v>166</v>
      </c>
      <c r="B106" s="21" t="s">
        <v>167</v>
      </c>
      <c r="C106" s="21" t="s">
        <v>168</v>
      </c>
      <c r="D106" s="21" t="s">
        <v>150</v>
      </c>
    </row>
    <row r="107" spans="1:4">
      <c r="A107" s="21" t="s">
        <v>169</v>
      </c>
      <c r="B107" s="21" t="s">
        <v>170</v>
      </c>
      <c r="C107" s="21" t="s">
        <v>171</v>
      </c>
      <c r="D107" s="21" t="s">
        <v>150</v>
      </c>
    </row>
    <row r="108" spans="1:4">
      <c r="A108" s="21" t="s">
        <v>172</v>
      </c>
      <c r="B108" s="21" t="s">
        <v>173</v>
      </c>
      <c r="C108" s="21" t="s">
        <v>174</v>
      </c>
      <c r="D108" s="21" t="s">
        <v>175</v>
      </c>
    </row>
    <row r="109" spans="1:4">
      <c r="A109" s="23"/>
      <c r="B109" s="23"/>
      <c r="C109" s="24"/>
      <c r="D109" s="23"/>
    </row>
    <row r="110" spans="1:4">
      <c r="A110" s="23"/>
      <c r="B110" s="20" t="s">
        <v>176</v>
      </c>
      <c r="C110" s="20" t="s">
        <v>131</v>
      </c>
      <c r="D110" s="23"/>
    </row>
    <row r="111" spans="1:4">
      <c r="A111" s="23"/>
      <c r="B111" s="21" t="s">
        <v>288</v>
      </c>
      <c r="C111" s="21" t="s">
        <v>289</v>
      </c>
      <c r="D111" s="23"/>
    </row>
    <row r="112" spans="1:4">
      <c r="A112" s="23"/>
      <c r="B112" s="21" t="s">
        <v>290</v>
      </c>
      <c r="C112" s="37" t="s">
        <v>291</v>
      </c>
      <c r="D112" s="23"/>
    </row>
    <row r="113" spans="1:4">
      <c r="A113" s="23"/>
      <c r="B113" s="25" t="s">
        <v>177</v>
      </c>
      <c r="C113" s="26" t="s">
        <v>178</v>
      </c>
      <c r="D113" s="23"/>
    </row>
    <row r="114" spans="1:4">
      <c r="A114" s="23"/>
      <c r="B114" s="26" t="s">
        <v>178</v>
      </c>
      <c r="C114" s="26" t="s">
        <v>178</v>
      </c>
      <c r="D114" s="23"/>
    </row>
    <row r="115" spans="1:4" ht="31">
      <c r="A115" s="23"/>
      <c r="B115" s="26" t="s">
        <v>179</v>
      </c>
      <c r="C115" s="26" t="s">
        <v>180</v>
      </c>
      <c r="D115" s="23"/>
    </row>
    <row r="116" spans="1:4">
      <c r="A116" s="23"/>
      <c r="B116" s="26" t="s">
        <v>181</v>
      </c>
      <c r="C116" s="26" t="s">
        <v>182</v>
      </c>
      <c r="D116" s="23"/>
    </row>
    <row r="117" spans="1:4">
      <c r="A117" s="23"/>
      <c r="B117" s="26" t="s">
        <v>183</v>
      </c>
      <c r="C117" s="26" t="s">
        <v>184</v>
      </c>
      <c r="D117" s="23"/>
    </row>
    <row r="118" spans="1:4">
      <c r="A118" s="23"/>
      <c r="B118" s="26" t="s">
        <v>185</v>
      </c>
      <c r="C118" s="26" t="s">
        <v>186</v>
      </c>
      <c r="D118" s="23"/>
    </row>
    <row r="119" spans="1:4">
      <c r="A119" s="23"/>
      <c r="B119" s="26" t="s">
        <v>187</v>
      </c>
      <c r="C119" s="26" t="s">
        <v>188</v>
      </c>
      <c r="D119" s="23"/>
    </row>
    <row r="120" spans="1:4" ht="31">
      <c r="A120" s="23"/>
      <c r="B120" s="26" t="s">
        <v>283</v>
      </c>
      <c r="C120" s="26" t="s">
        <v>282</v>
      </c>
      <c r="D120" s="23"/>
    </row>
    <row r="121" spans="1:4">
      <c r="A121" s="23"/>
      <c r="B121" s="26" t="s">
        <v>189</v>
      </c>
      <c r="C121" s="26" t="s">
        <v>190</v>
      </c>
      <c r="D121" s="23"/>
    </row>
    <row r="122" spans="1:4">
      <c r="A122" s="23"/>
      <c r="B122" s="26" t="s">
        <v>255</v>
      </c>
      <c r="C122" s="26" t="s">
        <v>255</v>
      </c>
      <c r="D122" s="23"/>
    </row>
    <row r="123" spans="1:4">
      <c r="A123" s="23"/>
      <c r="B123" s="26" t="s">
        <v>191</v>
      </c>
      <c r="C123" s="26" t="s">
        <v>192</v>
      </c>
      <c r="D123" s="23"/>
    </row>
    <row r="124" spans="1:4">
      <c r="A124" s="23"/>
      <c r="B124" s="26" t="s">
        <v>193</v>
      </c>
      <c r="C124" s="26" t="s">
        <v>194</v>
      </c>
      <c r="D124" s="23"/>
    </row>
    <row r="125" spans="1:4">
      <c r="A125" s="23"/>
      <c r="B125" s="26" t="s">
        <v>195</v>
      </c>
      <c r="C125" s="26" t="s">
        <v>196</v>
      </c>
      <c r="D125" s="23"/>
    </row>
    <row r="126" spans="1:4">
      <c r="A126" s="23"/>
      <c r="B126" s="26" t="s">
        <v>197</v>
      </c>
      <c r="C126" s="26" t="s">
        <v>198</v>
      </c>
      <c r="D126" s="23"/>
    </row>
    <row r="127" spans="1:4">
      <c r="A127" s="23"/>
      <c r="B127" s="26" t="s">
        <v>199</v>
      </c>
      <c r="C127" s="26" t="s">
        <v>200</v>
      </c>
      <c r="D127" s="23"/>
    </row>
    <row r="128" spans="1:4" ht="31">
      <c r="A128" s="23"/>
      <c r="B128" s="26" t="s">
        <v>201</v>
      </c>
      <c r="C128" s="26" t="s">
        <v>202</v>
      </c>
      <c r="D128" s="23"/>
    </row>
    <row r="129" spans="1:4">
      <c r="A129" s="23"/>
      <c r="B129" s="26" t="s">
        <v>203</v>
      </c>
      <c r="C129" s="26" t="s">
        <v>204</v>
      </c>
      <c r="D129" s="23"/>
    </row>
    <row r="130" spans="1:4">
      <c r="A130" s="23"/>
      <c r="B130" s="26" t="s">
        <v>205</v>
      </c>
      <c r="C130" s="26" t="s">
        <v>206</v>
      </c>
      <c r="D130" s="23"/>
    </row>
    <row r="131" spans="1:4">
      <c r="A131" s="23"/>
      <c r="B131" s="26" t="s">
        <v>207</v>
      </c>
      <c r="C131" s="26" t="s">
        <v>208</v>
      </c>
      <c r="D131" s="23"/>
    </row>
    <row r="132" spans="1:4" ht="31">
      <c r="A132" s="23"/>
      <c r="B132" s="26" t="s">
        <v>209</v>
      </c>
      <c r="C132" s="26" t="s">
        <v>210</v>
      </c>
      <c r="D132" s="23"/>
    </row>
    <row r="133" spans="1:4" ht="46.5">
      <c r="A133" s="23"/>
      <c r="B133" s="26" t="s">
        <v>211</v>
      </c>
      <c r="C133" s="26" t="s">
        <v>212</v>
      </c>
      <c r="D133" s="23"/>
    </row>
    <row r="134" spans="1:4">
      <c r="A134" s="23"/>
      <c r="B134" s="27" t="s">
        <v>213</v>
      </c>
      <c r="C134" s="27" t="s">
        <v>214</v>
      </c>
      <c r="D134" s="23"/>
    </row>
    <row r="135" spans="1:4" ht="31">
      <c r="A135" s="23"/>
      <c r="B135" s="27" t="s">
        <v>215</v>
      </c>
      <c r="C135" s="27" t="s">
        <v>116</v>
      </c>
      <c r="D135" s="23"/>
    </row>
    <row r="136" spans="1:4">
      <c r="A136" s="23"/>
      <c r="B136" s="27" t="s">
        <v>216</v>
      </c>
      <c r="C136" s="27" t="s">
        <v>216</v>
      </c>
      <c r="D136" s="23"/>
    </row>
    <row r="137" spans="1:4">
      <c r="A137" s="23"/>
      <c r="B137" s="27" t="s">
        <v>239</v>
      </c>
      <c r="C137" s="27" t="s">
        <v>239</v>
      </c>
      <c r="D137" s="23"/>
    </row>
    <row r="138" spans="1:4">
      <c r="A138" s="23"/>
      <c r="B138" s="27" t="s">
        <v>256</v>
      </c>
      <c r="C138" s="27" t="s">
        <v>257</v>
      </c>
      <c r="D138" s="23"/>
    </row>
    <row r="139" spans="1:4" ht="31">
      <c r="A139" s="23"/>
      <c r="B139" s="27" t="s">
        <v>258</v>
      </c>
      <c r="C139" s="27" t="s">
        <v>259</v>
      </c>
      <c r="D139" s="23"/>
    </row>
    <row r="140" spans="1:4">
      <c r="A140" s="23"/>
      <c r="B140" s="27" t="s">
        <v>260</v>
      </c>
      <c r="C140" s="27" t="s">
        <v>261</v>
      </c>
      <c r="D140" s="23"/>
    </row>
    <row r="141" spans="1:4" ht="31">
      <c r="A141" s="23"/>
      <c r="B141" s="27" t="s">
        <v>262</v>
      </c>
      <c r="C141" s="27" t="s">
        <v>263</v>
      </c>
      <c r="D141" s="23"/>
    </row>
    <row r="142" spans="1:4">
      <c r="A142" s="23"/>
      <c r="B142" s="27" t="s">
        <v>264</v>
      </c>
      <c r="C142" s="27" t="s">
        <v>265</v>
      </c>
      <c r="D142" s="23"/>
    </row>
    <row r="143" spans="1:4">
      <c r="A143" s="23"/>
      <c r="B143" s="27" t="s">
        <v>287</v>
      </c>
      <c r="C143" s="27" t="s">
        <v>287</v>
      </c>
      <c r="D143" s="23"/>
    </row>
    <row r="144" spans="1:4">
      <c r="A144" s="39"/>
      <c r="B144" s="40" t="s">
        <v>285</v>
      </c>
      <c r="C144" s="40" t="s">
        <v>286</v>
      </c>
      <c r="D144" s="39"/>
    </row>
    <row r="145" spans="2:3">
      <c r="B145" s="38"/>
      <c r="C145" s="38"/>
    </row>
    <row r="146" spans="2:3">
      <c r="B146" s="38"/>
      <c r="C146" s="38"/>
    </row>
    <row r="147" spans="2:3">
      <c r="B147" s="38"/>
      <c r="C147" s="38"/>
    </row>
    <row r="148" spans="2:3">
      <c r="B148" s="38"/>
      <c r="C148" s="38"/>
    </row>
    <row r="149" spans="2:3">
      <c r="B149" s="38"/>
      <c r="C149" s="38"/>
    </row>
    <row r="150" spans="2:3">
      <c r="B150" s="38"/>
      <c r="C150" s="38"/>
    </row>
    <row r="151" spans="2:3">
      <c r="B151" s="38"/>
      <c r="C151" s="38"/>
    </row>
    <row r="152" spans="2:3">
      <c r="B152" s="38"/>
      <c r="C152" s="38"/>
    </row>
    <row r="153" spans="2:3">
      <c r="B153" s="38"/>
      <c r="C153" s="38"/>
    </row>
    <row r="154" spans="2:3">
      <c r="B154" s="38"/>
      <c r="C154" s="38"/>
    </row>
    <row r="155" spans="2:3">
      <c r="B155" s="38"/>
      <c r="C155" s="38"/>
    </row>
  </sheetData>
  <mergeCells count="7">
    <mergeCell ref="A92:C92"/>
    <mergeCell ref="A1:B1"/>
    <mergeCell ref="A2:B2"/>
    <mergeCell ref="A3:B3"/>
    <mergeCell ref="A10:B10"/>
    <mergeCell ref="A91:B91"/>
    <mergeCell ref="A4:B4"/>
  </mergeCells>
  <conditionalFormatting sqref="A6:J6 L6:O6 Q6:S6">
    <cfRule type="expression" dxfId="82" priority="96" stopIfTrue="1">
      <formula>$A6="end group"</formula>
    </cfRule>
    <cfRule type="expression" dxfId="81" priority="95" stopIfTrue="1">
      <formula>$A6="begin repeat"</formula>
    </cfRule>
    <cfRule type="expression" dxfId="80" priority="98" stopIfTrue="1">
      <formula>$A6="begin group"</formula>
    </cfRule>
  </conditionalFormatting>
  <conditionalFormatting sqref="A6:J6 Q6:S6">
    <cfRule type="expression" dxfId="79" priority="77" stopIfTrue="1">
      <formula>$A6="note"</formula>
    </cfRule>
    <cfRule type="expression" dxfId="78" priority="93" stopIfTrue="1">
      <formula>$A6="end repeat"</formula>
    </cfRule>
    <cfRule type="expression" dxfId="77" priority="92" stopIfTrue="1">
      <formula>$A6="text"</formula>
    </cfRule>
    <cfRule type="expression" dxfId="76" priority="90" stopIfTrue="1">
      <formula>$A6="integer"</formula>
    </cfRule>
    <cfRule type="expression" dxfId="75" priority="79" stopIfTrue="1">
      <formula>$A6="barcode"</formula>
    </cfRule>
    <cfRule type="expression" dxfId="74" priority="88" stopIfTrue="1">
      <formula>$A6="decimal"</formula>
    </cfRule>
    <cfRule type="expression" dxfId="73" priority="81" stopIfTrue="1">
      <formula>$A6="geopoint"</formula>
    </cfRule>
    <cfRule type="expression" dxfId="72" priority="86" stopIfTrue="1">
      <formula>OR(AND(LEFT($A6, 16)="select_multiple ", LEN($A6)&gt;16, NOT(ISNUMBER(SEARCH(" ", $A6, 17)))), AND(LEFT($A6, 11)="select_one ", LEN($A6)&gt;11, NOT(ISNUMBER(SEARCH(" ", $A6, 12)))))</formula>
    </cfRule>
    <cfRule type="expression" dxfId="71" priority="83" stopIfTrue="1">
      <formula>OR($A6="audio audit", $A6="text audit")</formula>
    </cfRule>
    <cfRule type="expression" dxfId="70" priority="84" stopIfTrue="1">
      <formula>OR($A6="phonenumber", $A6="start", $A6="end", $A6="deviceid", $A6="subscriberid", $A6="simserial")</formula>
    </cfRule>
    <cfRule type="expression" dxfId="69" priority="75" stopIfTrue="1">
      <formula>OR($A6="calculate", $A6="calculate_here")</formula>
    </cfRule>
  </conditionalFormatting>
  <conditionalFormatting sqref="A6:J6">
    <cfRule type="expression" dxfId="68" priority="73" stopIfTrue="1">
      <formula>OR($A6="date", $A6="datetime")</formula>
    </cfRule>
    <cfRule type="expression" dxfId="67" priority="69" stopIfTrue="1">
      <formula>OR($A6="audio", $A6="video")</formula>
    </cfRule>
    <cfRule type="expression" dxfId="66" priority="71" stopIfTrue="1">
      <formula>$A6="image"</formula>
    </cfRule>
    <cfRule type="expression" dxfId="65" priority="67" stopIfTrue="1">
      <formula>$A6="comments"</formula>
    </cfRule>
  </conditionalFormatting>
  <conditionalFormatting sqref="B6 H6">
    <cfRule type="expression" dxfId="64" priority="82" stopIfTrue="1">
      <formula>OR($A6="audio audit", $A6="text audit")</formula>
    </cfRule>
  </conditionalFormatting>
  <conditionalFormatting sqref="B6 R6">
    <cfRule type="expression" dxfId="63" priority="74" stopIfTrue="1">
      <formula>OR($A6="calculate", $A6="calculate_here")</formula>
    </cfRule>
  </conditionalFormatting>
  <conditionalFormatting sqref="B6">
    <cfRule type="expression" dxfId="62" priority="66" stopIfTrue="1">
      <formula>$A6="comments"</formula>
    </cfRule>
  </conditionalFormatting>
  <conditionalFormatting sqref="B6:C6 H6 L6">
    <cfRule type="expression" dxfId="61" priority="97" stopIfTrue="1">
      <formula>$A6="begin group"</formula>
    </cfRule>
  </conditionalFormatting>
  <conditionalFormatting sqref="B6:C6 H6">
    <cfRule type="expression" dxfId="60" priority="85" stopIfTrue="1">
      <formula>OR(AND(LEFT($A6, 16)="select_multiple ", LEN($A6)&gt;16, NOT(ISNUMBER(SEARCH(" ", $A6, 17)))), AND(LEFT($A6, 11)="select_one ", LEN($A6)&gt;11, NOT(ISNUMBER(SEARCH(" ", $A6, 12)))))</formula>
    </cfRule>
    <cfRule type="expression" dxfId="59" priority="72" stopIfTrue="1">
      <formula>OR($A6="date", $A6="datetime")</formula>
    </cfRule>
    <cfRule type="expression" dxfId="58" priority="70" stopIfTrue="1">
      <formula>$A6="image"</formula>
    </cfRule>
  </conditionalFormatting>
  <conditionalFormatting sqref="B6:C6 S6 L6">
    <cfRule type="expression" dxfId="57" priority="94" stopIfTrue="1">
      <formula>$A6="begin repeat"</formula>
    </cfRule>
  </conditionalFormatting>
  <conditionalFormatting sqref="B6:C6">
    <cfRule type="expression" dxfId="56" priority="68" stopIfTrue="1">
      <formula>OR($A6="audio", $A6="video")</formula>
    </cfRule>
    <cfRule type="expression" dxfId="55" priority="76" stopIfTrue="1">
      <formula>$A6="note"</formula>
    </cfRule>
    <cfRule type="expression" dxfId="54" priority="80" stopIfTrue="1">
      <formula>$A6="geopoint"</formula>
    </cfRule>
    <cfRule type="expression" dxfId="53" priority="78" stopIfTrue="1">
      <formula>$A6="barcode"</formula>
    </cfRule>
  </conditionalFormatting>
  <conditionalFormatting sqref="B6:F6 H6">
    <cfRule type="expression" dxfId="52" priority="91" stopIfTrue="1">
      <formula>$A6="text"</formula>
    </cfRule>
  </conditionalFormatting>
  <conditionalFormatting sqref="B6:F6 I6:J6">
    <cfRule type="expression" dxfId="51" priority="89" stopIfTrue="1">
      <formula>$A6="integer"</formula>
    </cfRule>
    <cfRule type="expression" dxfId="50" priority="87" stopIfTrue="1">
      <formula>$A6="decimal"</formula>
    </cfRule>
  </conditionalFormatting>
  <conditionalFormatting sqref="D6">
    <cfRule type="expression" dxfId="49" priority="39" stopIfTrue="1">
      <formula>OR($A6="audio", $A6="video")</formula>
    </cfRule>
    <cfRule type="expression" dxfId="48" priority="40" stopIfTrue="1">
      <formula>$A6="image"</formula>
    </cfRule>
    <cfRule type="expression" dxfId="47" priority="41" stopIfTrue="1">
      <formula>OR($A6="date", $A6="datetime")</formula>
    </cfRule>
    <cfRule type="expression" dxfId="46" priority="42" stopIfTrue="1">
      <formula>$A6="note"</formula>
    </cfRule>
    <cfRule type="expression" dxfId="45" priority="44" stopIfTrue="1">
      <formula>$A6="geopoint"</formula>
    </cfRule>
    <cfRule type="expression" dxfId="44" priority="45" stopIfTrue="1">
      <formula>OR(AND(LEFT($A6, 16)="select_multiple ", LEN($A6)&gt;16, NOT(ISNUMBER(SEARCH(" ", $A6, 17)))), AND(LEFT($A6, 11)="select_one ", LEN($A6)&gt;11, NOT(ISNUMBER(SEARCH(" ", $A6, 12)))))</formula>
    </cfRule>
    <cfRule type="expression" dxfId="43" priority="46" stopIfTrue="1">
      <formula>$A6="begin repeat"</formula>
    </cfRule>
    <cfRule type="expression" dxfId="42" priority="47" stopIfTrue="1">
      <formula>$A6="begin group"</formula>
    </cfRule>
    <cfRule type="expression" dxfId="41" priority="43" stopIfTrue="1">
      <formula>$A6="barcode"</formula>
    </cfRule>
  </conditionalFormatting>
  <conditionalFormatting sqref="K6">
    <cfRule type="expression" dxfId="40" priority="32" stopIfTrue="1">
      <formula>$A6="integer"</formula>
    </cfRule>
    <cfRule type="expression" dxfId="39" priority="36" stopIfTrue="1">
      <formula>$A6="begin repeat"</formula>
    </cfRule>
    <cfRule type="expression" dxfId="38" priority="30" stopIfTrue="1">
      <formula>$A6="decimal"</formula>
    </cfRule>
    <cfRule type="expression" dxfId="37" priority="38" stopIfTrue="1">
      <formula>$A6="begin group"</formula>
    </cfRule>
    <cfRule type="expression" dxfId="36" priority="37" stopIfTrue="1">
      <formula>$A6="end group"</formula>
    </cfRule>
  </conditionalFormatting>
  <conditionalFormatting sqref="K6:O6">
    <cfRule type="expression" dxfId="35" priority="35" stopIfTrue="1">
      <formula>$A6="end repeat"</formula>
    </cfRule>
    <cfRule type="expression" dxfId="34" priority="34" stopIfTrue="1">
      <formula>$A6="text"</formula>
    </cfRule>
    <cfRule type="expression" dxfId="33" priority="33" stopIfTrue="1">
      <formula>$A6="integer"</formula>
    </cfRule>
    <cfRule type="expression" dxfId="32" priority="31" stopIfTrue="1">
      <formula>$A6="decimal"</formula>
    </cfRule>
  </conditionalFormatting>
  <conditionalFormatting sqref="K6:P6">
    <cfRule type="expression" dxfId="31" priority="5" stopIfTrue="1">
      <formula>OR($A6="calculate", $A6="calculate_here")</formula>
    </cfRule>
    <cfRule type="expression" dxfId="30" priority="6" stopIfTrue="1">
      <formula>$A6="note"</formula>
    </cfRule>
    <cfRule type="expression" dxfId="29" priority="7" stopIfTrue="1">
      <formula>$A6="barcode"</formula>
    </cfRule>
    <cfRule type="expression" dxfId="28" priority="8" stopIfTrue="1">
      <formula>$A6="geopoint"</formula>
    </cfRule>
    <cfRule type="expression" dxfId="27" priority="9" stopIfTrue="1">
      <formula>OR($A6="audio audit", $A6="text audit")</formula>
    </cfRule>
    <cfRule type="expression" dxfId="26" priority="10" stopIfTrue="1">
      <formula>OR($A6="phonenumber", $A6="start", $A6="end", $A6="deviceid", $A6="subscriberid", $A6="simserial")</formula>
    </cfRule>
    <cfRule type="expression" dxfId="25" priority="11" stopIfTrue="1">
      <formula>OR(AND(LEFT($A6, 16)="select_multiple ", LEN($A6)&gt;16, NOT(ISNUMBER(SEARCH(" ", $A6, 17)))), AND(LEFT($A6, 11)="select_one ", LEN($A6)&gt;11, NOT(ISNUMBER(SEARCH(" ", $A6, 12)))))</formula>
    </cfRule>
  </conditionalFormatting>
  <conditionalFormatting sqref="K6:AD6">
    <cfRule type="expression" dxfId="24" priority="1" stopIfTrue="1">
      <formula>$A6="comments"</formula>
    </cfRule>
    <cfRule type="expression" dxfId="23" priority="4" stopIfTrue="1">
      <formula>OR($A6="date", $A6="datetime")</formula>
    </cfRule>
    <cfRule type="expression" dxfId="22" priority="3" stopIfTrue="1">
      <formula>$A6="image"</formula>
    </cfRule>
    <cfRule type="expression" dxfId="21" priority="2" stopIfTrue="1">
      <formula>OR($A6="audio", $A6="video")</formula>
    </cfRule>
  </conditionalFormatting>
  <conditionalFormatting sqref="P6">
    <cfRule type="expression" dxfId="20" priority="17" stopIfTrue="1">
      <formula>$A6="end group"</formula>
    </cfRule>
    <cfRule type="expression" dxfId="19" priority="16" stopIfTrue="1">
      <formula>$A6="begin repeat"</formula>
    </cfRule>
    <cfRule type="expression" dxfId="18" priority="15" stopIfTrue="1">
      <formula>$A6="end repeat"</formula>
    </cfRule>
    <cfRule type="expression" dxfId="17" priority="14" stopIfTrue="1">
      <formula>$A6="text"</formula>
    </cfRule>
    <cfRule type="expression" dxfId="16" priority="13" stopIfTrue="1">
      <formula>$A6="integer"</formula>
    </cfRule>
    <cfRule type="expression" dxfId="15" priority="12" stopIfTrue="1">
      <formula>$A6="decimal"</formula>
    </cfRule>
    <cfRule type="expression" dxfId="14" priority="18" stopIfTrue="1">
      <formula>$A6="begin group"</formula>
    </cfRule>
  </conditionalFormatting>
  <conditionalFormatting sqref="T6:AD6">
    <cfRule type="expression" dxfId="13" priority="59" stopIfTrue="1">
      <formula>$A6="decimal"</formula>
    </cfRule>
    <cfRule type="expression" dxfId="12" priority="60" stopIfTrue="1">
      <formula>$A6="integer"</formula>
    </cfRule>
    <cfRule type="expression" dxfId="11" priority="61" stopIfTrue="1">
      <formula>$A6="text"</formula>
    </cfRule>
    <cfRule type="expression" dxfId="10" priority="62" stopIfTrue="1">
      <formula>$A6="end repeat"</formula>
    </cfRule>
    <cfRule type="expression" dxfId="9" priority="54" stopIfTrue="1">
      <formula>$A6="barcode"</formula>
    </cfRule>
    <cfRule type="expression" dxfId="8" priority="55" stopIfTrue="1">
      <formula>$A6="geopoint"</formula>
    </cfRule>
    <cfRule type="expression" dxfId="7" priority="57" stopIfTrue="1">
      <formula>OR($A6="phonenumber", $A6="start", $A6="end", $A6="deviceid", $A6="subscriberid", $A6="simserial")</formula>
    </cfRule>
    <cfRule type="expression" dxfId="6" priority="56" stopIfTrue="1">
      <formula>OR($A6="audio audit", $A6="text audit")</formula>
    </cfRule>
    <cfRule type="expression" dxfId="5" priority="65" stopIfTrue="1">
      <formula>$A6="begin group"</formula>
    </cfRule>
    <cfRule type="expression" dxfId="4" priority="64" stopIfTrue="1">
      <formula>$A6="end group"</formula>
    </cfRule>
    <cfRule type="expression" dxfId="3" priority="63" stopIfTrue="1">
      <formula>$A6="begin repeat"</formula>
    </cfRule>
    <cfRule type="expression" dxfId="2" priority="52" stopIfTrue="1">
      <formula>OR($A6="calculate", $A6="calculate_here")</formula>
    </cfRule>
    <cfRule type="expression" dxfId="1" priority="53" stopIfTrue="1">
      <formula>$A6="note"</formula>
    </cfRule>
    <cfRule type="expression" dxfId="0" priority="58" stopIfTrue="1">
      <formula>OR(AND(LEFT($A6, 16)="select_multiple ", LEN($A6)&gt;16, NOT(ISNUMBER(SEARCH(" ", $A6, 17)))), AND(LEFT($A6, 11)="select_one ", LEN($A6)&gt;11, NOT(ISNUMBER(SEARCH(" ", $A6, 12)))))</formula>
    </cfRule>
  </conditionalFormatting>
  <hyperlinks>
    <hyperlink ref="A92" r:id="rId1" display="Learn about available expressions in &quot;Using expressions in your forms: a reference for all operators and functions&quot;." xr:uid="{35D19E60-0108-8B4F-9A18-F60E5BC9448C}"/>
    <hyperlink ref="A4:B4" r:id="rId2" display="Click here to learn more about form definitions and field types" xr:uid="{B65F6621-6DCB-2C41-A239-ABF8A03CB81E}"/>
    <hyperlink ref="G8" r:id="rId3" xr:uid="{5FABBD1C-0B3A-8C40-8AEA-A0CFE23C9939}"/>
    <hyperlink ref="Z8" r:id="rId4" xr:uid="{B71D6B4F-51CB-9A40-9A6B-7E4ECF27796E}"/>
    <hyperlink ref="I8" r:id="rId5" xr:uid="{46336DC0-57BF-334A-AA0A-07376D399EAE}"/>
    <hyperlink ref="L8" r:id="rId6" xr:uid="{E1004F8B-450D-0149-8E78-7A74332C74AA}"/>
    <hyperlink ref="AC8" r:id="rId7" xr:uid="{B2EB1985-5ED8-1248-9E3D-CFB9BAABF4C7}"/>
    <hyperlink ref="A16:A17" r:id="rId8" display="text" xr:uid="{9FD370C2-A8FF-7C4F-993C-713C9397501C}"/>
    <hyperlink ref="A18" r:id="rId9" xr:uid="{241B082A-369B-4740-87F4-94C4D37C0B9D}"/>
    <hyperlink ref="A19" r:id="rId10" xr:uid="{A9382E8B-1666-944F-8A86-2EAD2240D99C}"/>
    <hyperlink ref="A20:A34" r:id="rId11" display="select_one listname" xr:uid="{8B3EBB3C-8A05-A449-9D7C-4702246B2CDA}"/>
    <hyperlink ref="A20:A22" r:id="rId12" display="select_one listname" xr:uid="{440480F8-0C92-164E-B605-C79E78311DD0}"/>
    <hyperlink ref="A35:A43" r:id="rId13" display="select_multiple listname" xr:uid="{E084DCB2-77E5-AF4D-9815-9CE1A1A125D4}"/>
    <hyperlink ref="A44" r:id="rId14" xr:uid="{99D8E100-DB81-C544-B2E8-D8DE29F1B03F}"/>
    <hyperlink ref="A45" r:id="rId15" xr:uid="{28A2ADFA-4FB4-594A-8CAC-7EE0524F58D1}"/>
    <hyperlink ref="A46" r:id="rId16" xr:uid="{59E79B0C-DEF6-414D-B6C9-BE6AC3B4B95F}"/>
    <hyperlink ref="A47" r:id="rId17" xr:uid="{2448BADB-03DD-2C45-BB28-E0AB2AD05E74}"/>
    <hyperlink ref="A48:A52" r:id="rId18" display="date" xr:uid="{4F209A05-5990-1C44-85B9-4D2DA723A208}"/>
    <hyperlink ref="A53:A56" r:id="rId19" display="image" xr:uid="{EB066E35-DCFC-A649-BCBE-6D9F4B8CD491}"/>
    <hyperlink ref="A57" r:id="rId20" xr:uid="{2D693F1D-131F-8E47-81A5-48497E4C0872}"/>
    <hyperlink ref="A58" r:id="rId21" xr:uid="{E8C6A89D-36ED-D742-A588-87C7715884DD}"/>
    <hyperlink ref="A59" r:id="rId22" xr:uid="{FA31C0E1-6E6E-B34D-958E-5EDA924A7C5A}"/>
    <hyperlink ref="A60" r:id="rId23" xr:uid="{22E0A732-EAAD-1145-BC99-A17322698063}"/>
    <hyperlink ref="A61" r:id="rId24" xr:uid="{201A5FF6-8AB5-B542-8084-C33FAEFB7D35}"/>
    <hyperlink ref="A62" r:id="rId25" xr:uid="{4C427960-7C18-774B-984C-1C9184519B66}"/>
    <hyperlink ref="A63" r:id="rId26" xr:uid="{733B4873-E34E-934D-AE3E-B117E1C090B2}"/>
    <hyperlink ref="A64" r:id="rId27" xr:uid="{33027A27-E020-5748-87DA-715C51934FF1}"/>
    <hyperlink ref="A65" r:id="rId28" xr:uid="{E2623556-A9C6-404E-BAFF-F5631F535156}"/>
    <hyperlink ref="A66" r:id="rId29" xr:uid="{DE97B53D-D7BB-B24A-B517-279264B0D461}"/>
    <hyperlink ref="A67" r:id="rId30" xr:uid="{4C685B49-95E1-324A-BA63-6245EE0ABD36}"/>
    <hyperlink ref="A68" r:id="rId31" xr:uid="{B7DB044E-F677-E34F-ABDE-CD3FE23B9C99}"/>
    <hyperlink ref="A69:A70" r:id="rId32" display="calculate" xr:uid="{4BBC1A1D-CF9C-404F-9E0A-6BD0A1310BAA}"/>
    <hyperlink ref="A71" r:id="rId33" xr:uid="{87C2CCAD-ECA5-8B45-8CB2-57CA2A62893D}"/>
    <hyperlink ref="A73:A75" r:id="rId34" display="audio audit" xr:uid="{6B1A0DCA-6B6C-3D44-81B3-A51E7CD79CE8}"/>
    <hyperlink ref="A76" r:id="rId35" xr:uid="{8F5F8475-C38D-BC40-93B7-F4AD94B1E15F}"/>
    <hyperlink ref="A79" r:id="rId36" xr:uid="{CCAD611F-D2D5-8F46-B956-ACC94152A691}"/>
    <hyperlink ref="A82" r:id="rId37" xr:uid="{BA0974EA-F6F8-C846-A3D4-DB489D8ADABC}"/>
    <hyperlink ref="A85:A87" r:id="rId38" display="speed violations count" xr:uid="{C12BA949-7000-A540-90B7-C6D1A4FE65F0}"/>
    <hyperlink ref="A89" r:id="rId39" xr:uid="{3DCFB4DF-4E9C-E240-872F-A5350EA4A99C}"/>
    <hyperlink ref="A88" r:id="rId40" xr:uid="{139148DC-8AD2-8A49-9844-F655B86CF3BC}"/>
    <hyperlink ref="T8" r:id="rId41" xr:uid="{738B1631-E661-C24C-B200-1593852192E5}"/>
    <hyperlink ref="U8" r:id="rId42" xr:uid="{C4D0BDBF-F201-EE4E-A8B9-EFD3D215A253}"/>
    <hyperlink ref="W8" r:id="rId43" xr:uid="{819B2D4B-45C0-0545-ADD3-7CEB277DF7F0}"/>
    <hyperlink ref="X8" r:id="rId44" xr:uid="{EEBAED6E-A636-3C4F-9BD5-12BE2FD250DB}"/>
    <hyperlink ref="Y8" r:id="rId45" xr:uid="{C2A2F0E3-2B01-9941-9780-A366C9FC62AD}"/>
    <hyperlink ref="D8" r:id="rId46" xr:uid="{6DF5143E-590E-6249-B030-1D25D9475669}"/>
    <hyperlink ref="F8" r:id="rId47" xr:uid="{24FB224A-FB7F-B749-A926-44274EF3795A}"/>
    <hyperlink ref="J8" r:id="rId48" xr:uid="{35406BCD-C95C-AC46-9B69-62A3ACFB96E4}"/>
    <hyperlink ref="M8" r:id="rId49" xr:uid="{B8290BD7-D65D-3B41-8525-53B9E755D01B}"/>
    <hyperlink ref="N8" r:id="rId50" xr:uid="{60C9C14C-5DC4-DA49-B808-189FB38C480F}"/>
    <hyperlink ref="O8" r:id="rId51" xr:uid="{4CD0CA55-7F88-E74D-8BEF-097296BB66C0}"/>
    <hyperlink ref="AD8" r:id="rId52" xr:uid="{3FA254CD-FEFC-AE4A-B6F8-C531BAB7618E}"/>
    <hyperlink ref="S8" r:id="rId53" xr:uid="{786E1424-3C67-9E48-9896-39407E02EDEC}"/>
    <hyperlink ref="Q8" r:id="rId54" xr:uid="{C038213E-F4B7-9E42-A366-E656B4579317}"/>
    <hyperlink ref="R8" r:id="rId55" xr:uid="{49C13E48-EEC9-D64F-B19C-4072D1397EBB}"/>
    <hyperlink ref="V8" r:id="rId56" xr:uid="{43E68768-F017-4244-A712-2DBE0A821DDB}"/>
    <hyperlink ref="AA8" r:id="rId57" xr:uid="{2D7CDB1E-B1BA-624E-8179-C5F26D5A306B}"/>
    <hyperlink ref="AB8" r:id="rId58" xr:uid="{6855B09D-9905-5048-8E47-E9CD6E434963}"/>
    <hyperlink ref="A12" r:id="rId59" xr:uid="{8EDCDA22-891C-C24A-80A3-75076EDEF35C}"/>
    <hyperlink ref="A13" r:id="rId60" xr:uid="{A9E8CA2B-E0F6-E24A-947E-D5A35369F2B2}"/>
    <hyperlink ref="A14" r:id="rId61" xr:uid="{A7F65933-80E3-4246-AACC-26256D0E6A7E}"/>
    <hyperlink ref="A15" r:id="rId62" xr:uid="{0D189E3A-7CDF-6842-B513-52FDA39B479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defaultColWidth="10.6640625" defaultRowHeight="15.5"/>
  <cols>
    <col min="1" max="7" width="36" customWidth="1" collapsed="1"/>
  </cols>
  <sheetData>
    <row r="1" spans="1:8" ht="16" customHeight="1">
      <c r="A1" s="92" t="s">
        <v>39</v>
      </c>
      <c r="B1" s="93"/>
    </row>
    <row r="2" spans="1:8" ht="18" customHeight="1">
      <c r="A2" s="43"/>
      <c r="B2" s="44"/>
    </row>
    <row r="3" spans="1:8" ht="36" customHeight="1">
      <c r="A3" s="96" t="s">
        <v>295</v>
      </c>
      <c r="B3" s="97"/>
    </row>
    <row r="4" spans="1:8" ht="19" customHeight="1">
      <c r="A4" s="102" t="s">
        <v>315</v>
      </c>
      <c r="B4" s="103"/>
    </row>
    <row r="5" spans="1:8" ht="19" customHeight="1">
      <c r="A5" s="102" t="s">
        <v>316</v>
      </c>
      <c r="B5" s="103"/>
    </row>
    <row r="6" spans="1:8" ht="20" customHeight="1">
      <c r="A6" s="100" t="s">
        <v>317</v>
      </c>
      <c r="B6" s="101"/>
    </row>
    <row r="8" spans="1:8" s="3" customFormat="1" ht="18" customHeight="1">
      <c r="A8" s="11" t="s">
        <v>17</v>
      </c>
      <c r="B8" s="11" t="s">
        <v>242</v>
      </c>
      <c r="C8" s="34" t="s">
        <v>16</v>
      </c>
      <c r="D8" s="34" t="s">
        <v>44</v>
      </c>
      <c r="E8" s="11" t="s">
        <v>18</v>
      </c>
      <c r="F8" s="11" t="s">
        <v>45</v>
      </c>
      <c r="G8" s="11" t="s">
        <v>35</v>
      </c>
    </row>
    <row r="9" spans="1:8" s="60" customFormat="1" ht="248">
      <c r="A9" s="59" t="s">
        <v>41</v>
      </c>
      <c r="B9" s="59" t="s">
        <v>42</v>
      </c>
      <c r="C9" s="59" t="s">
        <v>43</v>
      </c>
      <c r="D9" s="59" t="s">
        <v>320</v>
      </c>
      <c r="E9" s="59" t="s">
        <v>321</v>
      </c>
      <c r="F9" s="59" t="s">
        <v>46</v>
      </c>
      <c r="G9" s="59" t="s">
        <v>47</v>
      </c>
      <c r="H9" s="59"/>
    </row>
    <row r="10" spans="1:8" s="65" customFormat="1" ht="31">
      <c r="D10" s="66" t="s">
        <v>300</v>
      </c>
      <c r="E10" s="67" t="s">
        <v>319</v>
      </c>
      <c r="G10" s="56" t="s">
        <v>305</v>
      </c>
    </row>
  </sheetData>
  <mergeCells count="5">
    <mergeCell ref="A1:B1"/>
    <mergeCell ref="A4:B4"/>
    <mergeCell ref="A6:B6"/>
    <mergeCell ref="A3:B3"/>
    <mergeCell ref="A5:B5"/>
  </mergeCells>
  <hyperlinks>
    <hyperlink ref="A4:B4" r:id="rId1" display="Read about the select_one field type for more information." xr:uid="{0F7E6E42-C042-6B4A-86DA-1D53F39E5CE5}"/>
    <hyperlink ref="A5:B5" r:id="rId2" display="Read about the select_multiple field type for more information." xr:uid="{8DC46976-5C7F-6547-B916-2FF7AF6277CB}"/>
    <hyperlink ref="A6:B6" r:id="rId3" display="Read about dynamically loading choice lists from external pre-loaded data." xr:uid="{17A7DF42-B9D1-FA42-BFEC-D837F51F8371}"/>
    <hyperlink ref="D10" r:id="rId4" xr:uid="{E956F188-9670-D74E-9B4C-26C1A2C90A7B}"/>
    <hyperlink ref="E10" r:id="rId5" xr:uid="{32AA0931-A121-FF4D-89AA-95E01C5E0550}"/>
    <hyperlink ref="G10" r:id="rId6" xr:uid="{A11E64F3-63ED-1A43-8428-F40BA1B5B568}"/>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defaultColWidth="10.6640625" defaultRowHeight="15.5"/>
  <cols>
    <col min="1" max="6" width="36" customWidth="1" collapsed="1"/>
  </cols>
  <sheetData>
    <row r="1" spans="1:8">
      <c r="A1" s="106" t="s">
        <v>37</v>
      </c>
      <c r="B1" s="107"/>
      <c r="C1" s="35"/>
      <c r="D1" s="35"/>
      <c r="E1" s="35"/>
      <c r="F1" s="35"/>
    </row>
    <row r="2" spans="1:8">
      <c r="A2" s="108"/>
      <c r="B2" s="109"/>
      <c r="C2" s="35"/>
      <c r="D2" s="35"/>
      <c r="E2" s="35"/>
      <c r="F2" s="35"/>
    </row>
    <row r="3" spans="1:8" ht="55" customHeight="1">
      <c r="A3" s="104" t="s">
        <v>38</v>
      </c>
      <c r="B3" s="105"/>
      <c r="C3" s="35"/>
      <c r="D3" s="35"/>
      <c r="E3" s="35"/>
      <c r="F3" s="35"/>
    </row>
    <row r="4" spans="1:8">
      <c r="A4" s="35"/>
      <c r="B4" s="35"/>
      <c r="C4" s="35"/>
      <c r="D4" s="35"/>
      <c r="E4" s="35"/>
      <c r="F4" s="35"/>
    </row>
    <row r="5" spans="1:8" s="48" customFormat="1" ht="18" customHeight="1">
      <c r="A5" s="46" t="s">
        <v>11</v>
      </c>
      <c r="B5" s="46" t="s">
        <v>12</v>
      </c>
      <c r="C5" s="46" t="s">
        <v>15</v>
      </c>
      <c r="D5" s="46" t="s">
        <v>13</v>
      </c>
      <c r="E5" s="46" t="s">
        <v>14</v>
      </c>
      <c r="F5" s="47" t="s">
        <v>19</v>
      </c>
      <c r="H5" s="49"/>
    </row>
    <row r="6" spans="1:8" s="51" customFormat="1" ht="356.5">
      <c r="A6" s="50" t="s">
        <v>297</v>
      </c>
      <c r="B6" s="50" t="s">
        <v>298</v>
      </c>
      <c r="C6" s="50" t="s">
        <v>312</v>
      </c>
      <c r="D6" s="50" t="s">
        <v>301</v>
      </c>
      <c r="E6" s="50" t="s">
        <v>302</v>
      </c>
      <c r="F6" s="50" t="s">
        <v>303</v>
      </c>
    </row>
    <row r="7" spans="1:8" s="51" customFormat="1" ht="31">
      <c r="A7" s="61" t="s">
        <v>296</v>
      </c>
      <c r="B7" s="62"/>
      <c r="C7" s="61" t="s">
        <v>311</v>
      </c>
      <c r="D7" s="61" t="s">
        <v>299</v>
      </c>
      <c r="E7" s="61" t="s">
        <v>299</v>
      </c>
      <c r="F7" s="61" t="s">
        <v>300</v>
      </c>
    </row>
    <row r="8" spans="1:8">
      <c r="A8" s="18"/>
      <c r="B8" s="18"/>
      <c r="C8" s="18"/>
      <c r="D8" s="18"/>
      <c r="E8" s="18"/>
      <c r="F8" s="18"/>
    </row>
  </sheetData>
  <mergeCells count="3">
    <mergeCell ref="A3:B3"/>
    <mergeCell ref="A1:B1"/>
    <mergeCell ref="A2:B2"/>
  </mergeCells>
  <hyperlinks>
    <hyperlink ref="A7" r:id="rId1" xr:uid="{F972F034-A468-194D-BBBB-DA1B89AA18C3}"/>
    <hyperlink ref="D7" r:id="rId2" xr:uid="{BB7FD949-95E8-F147-AD1B-2891255A3792}"/>
    <hyperlink ref="E7" r:id="rId3" xr:uid="{FB8517D3-79A6-A341-AFB8-DC7606D94ABA}"/>
    <hyperlink ref="F7" r:id="rId4" xr:uid="{137354F0-56BD-8D44-80BE-D146DFCD5EFE}"/>
    <hyperlink ref="C7" r:id="rId5" xr:uid="{A3B6D944-6616-F54C-97EA-60FF6FE5C887}"/>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Planilhas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daniel silva</cp:lastModifiedBy>
  <cp:revision>69</cp:revision>
  <cp:lastPrinted>1601-01-01T00:00:00Z</cp:lastPrinted>
  <dcterms:created xsi:type="dcterms:W3CDTF">2011-04-25T12:27:36Z</dcterms:created>
  <dcterms:modified xsi:type="dcterms:W3CDTF">2026-01-14T16:50:32Z</dcterms:modified>
</cp:coreProperties>
</file>